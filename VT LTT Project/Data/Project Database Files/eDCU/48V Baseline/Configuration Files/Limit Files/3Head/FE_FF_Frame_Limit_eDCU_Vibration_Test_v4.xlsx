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vitesco.sharepoint.com/teams/team_10018723/Shared Documents/57 - Electrification/5 - Components/1 - Inv_cont/10 - 100 - eDCU/7 - Tests &amp; Validation/6-LTT_Test_System/03_Test_Limits/03_High Temperature Life Test/"/>
    </mc:Choice>
  </mc:AlternateContent>
  <xr:revisionPtr revIDLastSave="1572" documentId="13_ncr:1_{43283069-8F01-46E3-A381-78544945E1A5}" xr6:coauthVersionLast="47" xr6:coauthVersionMax="47" xr10:uidLastSave="{712B45BE-09B1-4CCC-B7C9-F41AD6CEFC2D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V4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3" l="1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G222" i="3"/>
  <c r="AF222" i="3"/>
  <c r="AG221" i="3"/>
  <c r="AF221" i="3"/>
  <c r="AD222" i="3"/>
  <c r="AC222" i="3"/>
  <c r="AD221" i="3"/>
  <c r="AC221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R223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AJ61" i="3" s="1"/>
  <c r="I6" i="4"/>
  <c r="AF61" i="3" s="1"/>
  <c r="AM221" i="3"/>
  <c r="AM222" i="3"/>
  <c r="AL222" i="3"/>
  <c r="AL221" i="3"/>
  <c r="AJ222" i="3"/>
  <c r="AJ221" i="3"/>
  <c r="AI222" i="3"/>
  <c r="AI221" i="3"/>
  <c r="AA222" i="3"/>
  <c r="AA221" i="3"/>
  <c r="Z222" i="3"/>
  <c r="Z221" i="3"/>
  <c r="X222" i="3"/>
  <c r="X221" i="3"/>
  <c r="W222" i="3"/>
  <c r="W221" i="3"/>
  <c r="U222" i="3"/>
  <c r="U221" i="3"/>
  <c r="T222" i="3"/>
  <c r="T221" i="3"/>
  <c r="R222" i="3"/>
  <c r="R221" i="3"/>
  <c r="Q222" i="3"/>
  <c r="Q221" i="3"/>
  <c r="O222" i="3"/>
  <c r="O221" i="3"/>
  <c r="N222" i="3"/>
  <c r="N221" i="3"/>
  <c r="L222" i="3"/>
  <c r="I222" i="3"/>
  <c r="L221" i="3"/>
  <c r="K222" i="3"/>
  <c r="K221" i="3"/>
  <c r="I221" i="3"/>
  <c r="H222" i="3"/>
  <c r="H221" i="3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22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60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22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W21" i="3" l="1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<sst xmlns="http://schemas.openxmlformats.org/spreadsheetml/2006/main" count="552" uniqueCount="348">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</sst>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6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0" borderId="11" xfId="0" applyFont="1" applyBorder="1"/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41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D10" sqref="D10"/>
    </sheetView>
  </sheetViews>
  <sheetFormatPr defaultRowHeight="14.4" x14ac:dyDescent="0.3"/>
  <cols>
    <col min="3" max="3" width="11.21875" customWidth="1"/>
    <col min="4" max="4" width="38.33203125" customWidth="1"/>
    <col min="5" max="5" width="18.6640625" customWidth="1"/>
  </cols>
  <sheetData>
    <row r="1" spans="2:5" ht="15" thickBot="1" x14ac:dyDescent="0.35"/>
    <row r="2" spans="2:5" x14ac:dyDescent="0.3">
      <c r="B2" s="67" t="s">
        <v>336</v>
      </c>
      <c r="C2" s="68" t="s">
        <v>337</v>
      </c>
      <c r="D2" s="68" t="s">
        <v>338</v>
      </c>
      <c r="E2" s="69" t="s">
        <v>339</v>
      </c>
    </row>
    <row r="3" spans="2:5" ht="43.2" x14ac:dyDescent="0.3">
      <c r="B3" s="70">
        <v>1</v>
      </c>
      <c r="C3" s="72" t="s">
        <v>340</v>
      </c>
      <c r="D3" s="73" t="s">
        <v>342</v>
      </c>
      <c r="E3" s="74" t="s">
        <v>341</v>
      </c>
    </row>
    <row r="4" spans="2:5" ht="28.8" x14ac:dyDescent="0.3">
      <c r="B4" s="70">
        <v>2</v>
      </c>
      <c r="C4" s="72" t="s">
        <v>343</v>
      </c>
      <c r="D4" s="73" t="s">
        <v>344</v>
      </c>
      <c r="E4" s="74" t="s">
        <v>341</v>
      </c>
    </row>
    <row r="5" spans="2:5" ht="28.8" x14ac:dyDescent="0.3">
      <c r="B5" s="75">
        <v>3</v>
      </c>
      <c r="C5" s="76" t="s">
        <v>345</v>
      </c>
      <c r="D5" s="83" t="s">
        <v>347</v>
      </c>
      <c r="E5" s="77" t="s">
        <v>346</v>
      </c>
    </row>
    <row r="6" spans="2:5" x14ac:dyDescent="0.3">
      <c r="B6" s="71"/>
      <c r="C6" s="78"/>
      <c r="D6" s="84"/>
      <c r="E6" s="79"/>
    </row>
    <row r="7" spans="2:5" x14ac:dyDescent="0.3">
      <c r="B7" s="71"/>
      <c r="C7" s="78"/>
      <c r="D7" s="84"/>
      <c r="E7" s="79"/>
    </row>
    <row r="8" spans="2:5" x14ac:dyDescent="0.3">
      <c r="B8" s="71"/>
      <c r="C8" s="78"/>
      <c r="D8" s="84"/>
      <c r="E8" s="79"/>
    </row>
    <row r="9" spans="2:5" x14ac:dyDescent="0.3">
      <c r="B9" s="71"/>
      <c r="C9" s="78"/>
      <c r="D9" s="84"/>
      <c r="E9" s="79"/>
    </row>
    <row r="10" spans="2:5" x14ac:dyDescent="0.3">
      <c r="B10" s="71"/>
      <c r="C10" s="78"/>
      <c r="D10" s="84"/>
      <c r="E10" s="79"/>
    </row>
    <row r="11" spans="2:5" x14ac:dyDescent="0.3">
      <c r="B11" s="71"/>
      <c r="C11" s="78"/>
      <c r="D11" s="84"/>
      <c r="E11" s="79"/>
    </row>
    <row r="12" spans="2:5" x14ac:dyDescent="0.3">
      <c r="B12" s="71"/>
      <c r="C12" s="78"/>
      <c r="D12" s="84"/>
      <c r="E12" s="79"/>
    </row>
    <row r="13" spans="2:5" x14ac:dyDescent="0.3">
      <c r="B13" s="71"/>
      <c r="C13" s="78"/>
      <c r="D13" s="84"/>
      <c r="E13" s="79"/>
    </row>
    <row r="14" spans="2:5" x14ac:dyDescent="0.3">
      <c r="B14" s="71"/>
      <c r="C14" s="78"/>
      <c r="D14" s="84"/>
      <c r="E14" s="79"/>
    </row>
    <row r="15" spans="2:5" x14ac:dyDescent="0.3">
      <c r="B15" s="71"/>
      <c r="C15" s="78"/>
      <c r="D15" s="84"/>
      <c r="E15" s="79"/>
    </row>
    <row r="16" spans="2:5" x14ac:dyDescent="0.3">
      <c r="B16" s="71"/>
      <c r="C16" s="78"/>
      <c r="D16" s="84"/>
      <c r="E16" s="79"/>
    </row>
    <row r="17" spans="2:5" ht="15" thickBot="1" x14ac:dyDescent="0.35">
      <c r="B17" s="80"/>
      <c r="C17" s="81"/>
      <c r="D17" s="85"/>
      <c r="E17" s="82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G84" activePane="bottomRight" state="frozen"/>
      <selection pane="topRight" activeCell="G1" sqref="G1"/>
      <selection pane="bottomLeft" activeCell="A2" sqref="A2"/>
      <selection pane="bottomRight" activeCell="G93" sqref="G93:G94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bestFit="1" customWidth="1"/>
    <col min="35" max="35" width="12.6640625" style="4" bestFit="1" customWidth="1"/>
    <col min="36" max="36" width="13" style="4" bestFit="1" customWidth="1"/>
    <col min="37" max="37" width="20.5546875" style="4" bestFit="1" customWidth="1"/>
    <col min="38" max="38" width="12.6640625" style="4" bestFit="1" customWidth="1"/>
    <col min="39" max="39" width="13" style="4" bestFit="1" customWidth="1"/>
    <col min="40" max="40" width="17.6640625" bestFit="1" customWidth="1"/>
    <col min="41" max="41" width="12.6640625" bestFit="1" customWidth="1"/>
    <col min="42" max="42" width="13" bestFit="1" customWidth="1"/>
    <col min="43" max="43" width="17.6640625" bestFit="1" customWidth="1"/>
    <col min="44" max="44" width="12.6640625" bestFit="1" customWidth="1"/>
    <col min="45" max="45" width="13" bestFit="1" customWidth="1"/>
    <col min="46" max="46" width="17.6640625" bestFit="1" customWidth="1"/>
    <col min="47" max="47" width="12.6640625" bestFit="1" customWidth="1"/>
    <col min="48" max="48" width="13" bestFit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6"/>
      <c r="BD2" s="22"/>
      <c r="BE2" s="16"/>
      <c r="BF2"/>
      <c r="BG2"/>
      <c r="BH2"/>
    </row>
    <row r="3" spans="1:60" s="3" customFormat="1" x14ac:dyDescent="0.3">
      <c r="A3" s="16">
        <v>2</v>
      </c>
      <c r="B3" s="23" t="s">
        <v>59</v>
      </c>
      <c r="C3" s="24" t="s">
        <v>58</v>
      </c>
      <c r="D3" s="24"/>
      <c r="E3" s="24"/>
      <c r="F3" s="24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6"/>
      <c r="BD3" s="22"/>
      <c r="BE3" s="16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6"/>
      <c r="BD4" s="22"/>
      <c r="BE4" s="16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6"/>
      <c r="BD5" s="22"/>
      <c r="BE5" s="16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6"/>
      <c r="BD6" s="22"/>
      <c r="BE6" s="16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6"/>
      <c r="BD7" s="22"/>
      <c r="BE7" s="16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6"/>
      <c r="BD8" s="22"/>
      <c r="BE8" s="16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6"/>
      <c r="BD9" s="22"/>
      <c r="BE9" s="16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6"/>
      <c r="BD10" s="22"/>
      <c r="BE10" s="16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6"/>
      <c r="BD11" s="22"/>
      <c r="BE11" s="16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6"/>
      <c r="BD12" s="22"/>
      <c r="BE12" s="16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6"/>
      <c r="BD13" s="22"/>
      <c r="BE13" s="16"/>
    </row>
    <row r="14" spans="1:60" s="3" customFormat="1" x14ac:dyDescent="0.3">
      <c r="A14" s="16">
        <v>13</v>
      </c>
      <c r="B14" s="23" t="s">
        <v>70</v>
      </c>
      <c r="C14" s="24" t="s">
        <v>58</v>
      </c>
      <c r="D14" s="24"/>
      <c r="E14" s="24"/>
      <c r="F14" s="24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6"/>
      <c r="BD14" s="22"/>
      <c r="BE14" s="16"/>
      <c r="BF14"/>
      <c r="BG14"/>
      <c r="BH14"/>
    </row>
    <row r="15" spans="1:60" s="7" customFormat="1" outlineLevel="1" x14ac:dyDescent="0.3">
      <c r="A15" s="51">
        <v>14</v>
      </c>
      <c r="B15" s="27" t="s">
        <v>72</v>
      </c>
      <c r="C15" s="28" t="s">
        <v>71</v>
      </c>
      <c r="D15" s="28"/>
      <c r="E15" s="28"/>
      <c r="F15" s="28">
        <v>1</v>
      </c>
      <c r="G15" s="20">
        <v>2.5</v>
      </c>
      <c r="H15" s="19">
        <f>($G$15*5/Misc!$L$12)-0.1</f>
        <v>2.4</v>
      </c>
      <c r="I15" s="19">
        <f>($G$15*5/Misc!$L$12)+0.1</f>
        <v>2.6</v>
      </c>
      <c r="J15" s="20">
        <v>2.5</v>
      </c>
      <c r="K15" s="19">
        <f>($J$15*5/Misc!$L$13)-0.1</f>
        <v>2.4</v>
      </c>
      <c r="L15" s="19">
        <f>($J$15*5/Misc!$L$13)+0.1</f>
        <v>2.6</v>
      </c>
      <c r="M15" s="20">
        <v>2.5</v>
      </c>
      <c r="N15" s="19">
        <f>($M$15*5/Misc!$L$14)-0.1</f>
        <v>2.4</v>
      </c>
      <c r="O15" s="19">
        <f>($M$15*5/Misc!$L$14)+0.1</f>
        <v>2.6</v>
      </c>
      <c r="P15" s="20">
        <v>2.5</v>
      </c>
      <c r="Q15" s="19">
        <f>($P$15*5/Misc!$L$15)-0.1</f>
        <v>2.4</v>
      </c>
      <c r="R15" s="19">
        <f>($S$15*5/Misc!$L$15)+0.1</f>
        <v>2.6</v>
      </c>
      <c r="S15" s="20">
        <v>2.5</v>
      </c>
      <c r="T15" s="19">
        <f>($S$15*5/Misc!$L$16)-0.1</f>
        <v>2.4</v>
      </c>
      <c r="U15" s="19">
        <f>($S$15*5/Misc!$L$16)+0.1</f>
        <v>2.6</v>
      </c>
      <c r="V15" s="20">
        <v>2.5</v>
      </c>
      <c r="W15" s="19">
        <f>($V$15*5/Misc!$L$17)-0.1</f>
        <v>2.4</v>
      </c>
      <c r="X15" s="19">
        <f>($V$15*5/Misc!$L$17)+0.1</f>
        <v>2.6</v>
      </c>
      <c r="Y15" s="20">
        <v>2.5</v>
      </c>
      <c r="Z15" s="19">
        <f>($Y$15*5/Misc!$L$18)-0.1</f>
        <v>2.4</v>
      </c>
      <c r="AA15" s="19">
        <f>($Y$15*5/Misc!$L$18)+0.1</f>
        <v>2.6</v>
      </c>
      <c r="AB15" s="20">
        <v>2.48</v>
      </c>
      <c r="AC15" s="19">
        <f>($AB$15*5/Misc!$L$19)-0.1</f>
        <v>2.38</v>
      </c>
      <c r="AD15" s="19">
        <f>($AB$15*5/Misc!$L$19)+0.1</f>
        <v>2.58</v>
      </c>
      <c r="AE15" s="20">
        <v>2.5</v>
      </c>
      <c r="AF15" s="19">
        <f>($AE$15*5/Misc!$L$20)-0.1</f>
        <v>2.4</v>
      </c>
      <c r="AG15" s="19">
        <f>($AE$15*5/Misc!$L$20)+0.1</f>
        <v>2.6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6"/>
      <c r="BD15" s="22"/>
      <c r="BE15" s="16"/>
      <c r="BF15"/>
      <c r="BG15"/>
      <c r="BH15"/>
    </row>
    <row r="16" spans="1:60" s="7" customFormat="1" outlineLevel="1" x14ac:dyDescent="0.3">
      <c r="A16" s="51">
        <v>15</v>
      </c>
      <c r="B16" s="27" t="s">
        <v>73</v>
      </c>
      <c r="C16" s="28" t="s">
        <v>71</v>
      </c>
      <c r="D16" s="28"/>
      <c r="E16" s="28"/>
      <c r="F16" s="28">
        <v>1</v>
      </c>
      <c r="G16" s="20">
        <v>2.5</v>
      </c>
      <c r="H16" s="19">
        <f>($G$16*5/Misc!$L$12)-0.1</f>
        <v>2.4</v>
      </c>
      <c r="I16" s="19">
        <f>($G$16*5/Misc!$L$12)+0.1</f>
        <v>2.6</v>
      </c>
      <c r="J16" s="20">
        <v>2.5</v>
      </c>
      <c r="K16" s="19">
        <f>($J$16*5/Misc!$L$13)-0.1</f>
        <v>2.4</v>
      </c>
      <c r="L16" s="19">
        <f>($J$16*5/Misc!$L$13)+0.1</f>
        <v>2.6</v>
      </c>
      <c r="M16" s="20">
        <v>2.5</v>
      </c>
      <c r="N16" s="19">
        <f>($M$16*5/Misc!$L$14)-0.1</f>
        <v>2.4</v>
      </c>
      <c r="O16" s="19">
        <f>($M$16*5/Misc!$L$14)+0.1</f>
        <v>2.6</v>
      </c>
      <c r="P16" s="20">
        <v>2.5</v>
      </c>
      <c r="Q16" s="19">
        <f>($P$16*5/Misc!$L$15)-0.1</f>
        <v>2.4</v>
      </c>
      <c r="R16" s="19">
        <f>($S$16*5/Misc!$L$15)+0.1</f>
        <v>2.6</v>
      </c>
      <c r="S16" s="20">
        <v>2.5</v>
      </c>
      <c r="T16" s="19">
        <f>($S$16*5/Misc!$L$16)-0.1</f>
        <v>2.4</v>
      </c>
      <c r="U16" s="19">
        <f>($S$16*5/Misc!$L$16)+0.1</f>
        <v>2.6</v>
      </c>
      <c r="V16" s="20">
        <v>2.5</v>
      </c>
      <c r="W16" s="19">
        <f>($V$16*5/Misc!$L$17)-0.1</f>
        <v>2.4</v>
      </c>
      <c r="X16" s="19">
        <f>($V$16*5/Misc!$L$17)+0.1</f>
        <v>2.6</v>
      </c>
      <c r="Y16" s="20">
        <v>2.5</v>
      </c>
      <c r="Z16" s="19">
        <f>($Y$16*5/Misc!$L$18)-0.1</f>
        <v>2.4</v>
      </c>
      <c r="AA16" s="19">
        <f>($Y$16*5/Misc!$L$18)+0.1</f>
        <v>2.6</v>
      </c>
      <c r="AB16" s="20">
        <v>2.65</v>
      </c>
      <c r="AC16" s="19">
        <f>($AB$16*5/Misc!$L$19)-0.1</f>
        <v>2.5499999999999998</v>
      </c>
      <c r="AD16" s="19">
        <f>($AB$16*5/Misc!$L$19)+0.1</f>
        <v>2.75</v>
      </c>
      <c r="AE16" s="20">
        <v>2.67</v>
      </c>
      <c r="AF16" s="19">
        <f>($AE$16*5/Misc!$L$20)-0.1</f>
        <v>2.57</v>
      </c>
      <c r="AG16" s="19">
        <f>($AE$16*5/Misc!$L$20)+0.1</f>
        <v>2.77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6"/>
      <c r="BD16" s="22"/>
      <c r="BE16" s="16"/>
      <c r="BF16"/>
      <c r="BG16"/>
      <c r="BH16"/>
    </row>
    <row r="17" spans="1:60" s="1" customFormat="1" outlineLevel="1" x14ac:dyDescent="0.3">
      <c r="A17" s="16">
        <v>16</v>
      </c>
      <c r="B17" s="25" t="s">
        <v>74</v>
      </c>
      <c r="C17" s="26"/>
      <c r="D17" s="26"/>
      <c r="E17" s="26"/>
      <c r="F17" s="26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6"/>
      <c r="BD17" s="22"/>
      <c r="BE17" s="16"/>
      <c r="BF17"/>
      <c r="BG17"/>
      <c r="BH17"/>
    </row>
    <row r="18" spans="1:60" s="7" customFormat="1" outlineLevel="1" x14ac:dyDescent="0.3">
      <c r="A18" s="16">
        <v>17</v>
      </c>
      <c r="B18" s="27" t="s">
        <v>75</v>
      </c>
      <c r="C18" s="28" t="s">
        <v>71</v>
      </c>
      <c r="D18" s="28"/>
      <c r="E18" s="28"/>
      <c r="F18" s="28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6"/>
      <c r="BD18" s="22"/>
      <c r="BE18" s="16"/>
      <c r="BF18"/>
      <c r="BG18"/>
      <c r="BH18"/>
    </row>
    <row r="19" spans="1:60" s="7" customFormat="1" outlineLevel="1" x14ac:dyDescent="0.3">
      <c r="A19" s="16">
        <v>18</v>
      </c>
      <c r="B19" s="27" t="s">
        <v>76</v>
      </c>
      <c r="C19" s="28" t="s">
        <v>71</v>
      </c>
      <c r="D19" s="28"/>
      <c r="E19" s="28"/>
      <c r="F19" s="28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6"/>
      <c r="BD19" s="22"/>
      <c r="BE19" s="16"/>
      <c r="BF19"/>
      <c r="BG19"/>
      <c r="BH19"/>
    </row>
    <row r="20" spans="1:60" s="1" customFormat="1" outlineLevel="1" x14ac:dyDescent="0.3">
      <c r="A20" s="16">
        <v>19</v>
      </c>
      <c r="B20" s="25" t="s">
        <v>77</v>
      </c>
      <c r="C20" s="26"/>
      <c r="D20" s="26"/>
      <c r="E20" s="26"/>
      <c r="F20" s="26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6"/>
      <c r="BD20" s="22"/>
      <c r="BE20" s="16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6"/>
      <c r="BD21" s="22"/>
      <c r="BE21" s="16"/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6"/>
      <c r="BD22" s="22"/>
      <c r="BE22" s="16"/>
    </row>
    <row r="23" spans="1:60" s="1" customFormat="1" outlineLevel="1" x14ac:dyDescent="0.3">
      <c r="A23" s="16">
        <v>22</v>
      </c>
      <c r="B23" s="25" t="s">
        <v>80</v>
      </c>
      <c r="C23" s="26"/>
      <c r="D23" s="26"/>
      <c r="E23" s="26"/>
      <c r="F23" s="26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6"/>
      <c r="BD23" s="22"/>
      <c r="BE23" s="16"/>
      <c r="BF23"/>
      <c r="BG23"/>
      <c r="BH23"/>
    </row>
    <row r="24" spans="1:60" outlineLevel="1" x14ac:dyDescent="0.3">
      <c r="A24" s="51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2.4900000000000002</v>
      </c>
      <c r="H24" s="19">
        <f>($G$24*5/Misc!$L$12)-0.015</f>
        <v>2.4750000000000001</v>
      </c>
      <c r="I24" s="19">
        <f>($G$24*5/Misc!$L$12)+0.015</f>
        <v>2.5050000000000003</v>
      </c>
      <c r="J24" s="20">
        <v>2.4900000000000002</v>
      </c>
      <c r="K24" s="19">
        <f>($J$24*5/Misc!$L$13)-0.015</f>
        <v>2.4750000000000001</v>
      </c>
      <c r="L24" s="19">
        <f>($J$24*5/Misc!$L$13)+0.015</f>
        <v>2.5050000000000003</v>
      </c>
      <c r="M24" s="20">
        <v>2.4900000000000002</v>
      </c>
      <c r="N24" s="19">
        <f>($M$24*5/Misc!$L$14)-0.015</f>
        <v>2.4750000000000001</v>
      </c>
      <c r="O24" s="19">
        <f>($M$24*5/Misc!$L$14)+0.015</f>
        <v>2.5050000000000003</v>
      </c>
      <c r="P24" s="20">
        <v>2.4900000000000002</v>
      </c>
      <c r="Q24" s="19">
        <f>($P$24*5/Misc!$L$15)-0.015</f>
        <v>2.4750000000000001</v>
      </c>
      <c r="R24" s="19">
        <f>($P$24*5/Misc!$L$15)+0.015</f>
        <v>2.5050000000000003</v>
      </c>
      <c r="S24" s="20">
        <v>2.4900000000000002</v>
      </c>
      <c r="T24" s="19">
        <f>($S$24*5/Misc!$L$16)-0.015</f>
        <v>2.4750000000000001</v>
      </c>
      <c r="U24" s="19">
        <f>($S$24*5/Misc!$L$16)+0.015</f>
        <v>2.5050000000000003</v>
      </c>
      <c r="V24" s="20">
        <v>2.4900000000000002</v>
      </c>
      <c r="W24" s="19">
        <f>($V$24*5/Misc!$L$17)-0.015</f>
        <v>2.4750000000000001</v>
      </c>
      <c r="X24" s="19">
        <f>($V$24*5/Misc!$L$17)+0.015</f>
        <v>2.5050000000000003</v>
      </c>
      <c r="Y24" s="20">
        <v>2.4900000000000002</v>
      </c>
      <c r="Z24" s="19">
        <f>($Y$24*5/Misc!$L$18)-0.015</f>
        <v>2.4750000000000001</v>
      </c>
      <c r="AA24" s="19">
        <f>($Y$24*5/Misc!$L$18)+0.015</f>
        <v>2.5050000000000003</v>
      </c>
      <c r="AB24" s="20">
        <v>2.4900000000000002</v>
      </c>
      <c r="AC24" s="19">
        <f>($AB$24*5/Misc!$L$19)-0.015</f>
        <v>2.4750000000000001</v>
      </c>
      <c r="AD24" s="19">
        <f>($AB$24*5/Misc!$L$19)+0.015</f>
        <v>2.5050000000000003</v>
      </c>
      <c r="AE24" s="20">
        <v>2.4870000000000001</v>
      </c>
      <c r="AF24" s="19">
        <f>($AE$24*5/Misc!$L$20)-0.015</f>
        <v>2.472</v>
      </c>
      <c r="AG24" s="19">
        <f>($AE$24*5/Misc!$L$20)+0.015</f>
        <v>2.5020000000000002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6"/>
      <c r="BD24" s="22"/>
      <c r="BE24" s="16"/>
    </row>
    <row r="25" spans="1:60" outlineLevel="1" x14ac:dyDescent="0.3">
      <c r="A25" s="51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2.4950000000000001</v>
      </c>
      <c r="H25" s="19">
        <f>($G$25*5/Misc!$L$12)-0.015</f>
        <v>2.48</v>
      </c>
      <c r="I25" s="19">
        <f>($G$25*5/Misc!$L$12)+0.015</f>
        <v>2.5100000000000002</v>
      </c>
      <c r="J25" s="20">
        <v>2.4950000000000001</v>
      </c>
      <c r="K25" s="19">
        <f>($J$25*5/Misc!$L$13)-0.015</f>
        <v>2.48</v>
      </c>
      <c r="L25" s="19">
        <f>($J$25*5/Misc!$L$13)+0.015</f>
        <v>2.5100000000000002</v>
      </c>
      <c r="M25" s="20">
        <v>2.4950000000000001</v>
      </c>
      <c r="N25" s="19">
        <f>($M$25*5/Misc!$L$14)-0.015</f>
        <v>2.48</v>
      </c>
      <c r="O25" s="19">
        <f>($M$25*5/Misc!$L$14)+0.015</f>
        <v>2.5100000000000002</v>
      </c>
      <c r="P25" s="20">
        <v>2.4950000000000001</v>
      </c>
      <c r="Q25" s="19">
        <f>($P$25*5/Misc!$L$15)-0.015</f>
        <v>2.48</v>
      </c>
      <c r="R25" s="19">
        <f>($P$25*5/Misc!$L$15)+0.015</f>
        <v>2.5100000000000002</v>
      </c>
      <c r="S25" s="20">
        <v>2.4950000000000001</v>
      </c>
      <c r="T25" s="19">
        <f>($S$25*5/Misc!$L$16)-0.015</f>
        <v>2.48</v>
      </c>
      <c r="U25" s="19">
        <f>($S$25*5/Misc!$L$16)+0.015</f>
        <v>2.5100000000000002</v>
      </c>
      <c r="V25" s="20">
        <v>2.4950000000000001</v>
      </c>
      <c r="W25" s="19">
        <f>($V$25*5/Misc!$L$17)-0.015</f>
        <v>2.48</v>
      </c>
      <c r="X25" s="19">
        <f>($V$25*5/Misc!$L$17)+0.015</f>
        <v>2.5100000000000002</v>
      </c>
      <c r="Y25" s="20">
        <v>2.4950000000000001</v>
      </c>
      <c r="Z25" s="19">
        <f>($Y$25*5/Misc!$L$18)-0.015</f>
        <v>2.48</v>
      </c>
      <c r="AA25" s="19">
        <f>($Y$25*5/Misc!$L$18)+0.015</f>
        <v>2.5100000000000002</v>
      </c>
      <c r="AB25" s="20">
        <v>2.4950000000000001</v>
      </c>
      <c r="AC25" s="19">
        <f>($AB$25*5/Misc!$L$19)-0.015</f>
        <v>2.48</v>
      </c>
      <c r="AD25" s="19">
        <f>($AB$25*5/Misc!$L$19)+0.015</f>
        <v>2.5100000000000002</v>
      </c>
      <c r="AE25" s="20">
        <v>2.4900000000000002</v>
      </c>
      <c r="AF25" s="19">
        <f>($AE$25*5/Misc!$L$20)-0.015</f>
        <v>2.4750000000000001</v>
      </c>
      <c r="AG25" s="19">
        <f>($AE$25*5/Misc!$L$20)+0.015</f>
        <v>2.5050000000000003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6"/>
      <c r="BD25" s="22"/>
      <c r="BE25" s="16"/>
    </row>
    <row r="26" spans="1:60" s="1" customFormat="1" outlineLevel="1" x14ac:dyDescent="0.3">
      <c r="A26" s="16">
        <v>25</v>
      </c>
      <c r="B26" s="25" t="s">
        <v>83</v>
      </c>
      <c r="C26" s="26"/>
      <c r="D26" s="26"/>
      <c r="E26" s="26"/>
      <c r="F26" s="26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6"/>
      <c r="BD26" s="22"/>
      <c r="BE26" s="16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6"/>
      <c r="BD27" s="22"/>
      <c r="BE27" s="16"/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6"/>
      <c r="BD28" s="22"/>
      <c r="BE28" s="16"/>
    </row>
    <row r="29" spans="1:60" s="1" customFormat="1" outlineLevel="1" x14ac:dyDescent="0.3">
      <c r="A29" s="16">
        <v>28</v>
      </c>
      <c r="B29" s="25" t="s">
        <v>86</v>
      </c>
      <c r="C29" s="26"/>
      <c r="D29" s="26"/>
      <c r="E29" s="26"/>
      <c r="F29" s="26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6"/>
      <c r="BD29" s="22"/>
      <c r="BE29" s="16"/>
      <c r="BF29"/>
      <c r="BG29"/>
      <c r="BH29"/>
    </row>
    <row r="30" spans="1:60" s="7" customFormat="1" outlineLevel="1" x14ac:dyDescent="0.3">
      <c r="A30" s="16">
        <v>29</v>
      </c>
      <c r="B30" s="27" t="s">
        <v>87</v>
      </c>
      <c r="C30" s="28" t="s">
        <v>71</v>
      </c>
      <c r="D30" s="28"/>
      <c r="E30" s="28"/>
      <c r="F30" s="28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6"/>
      <c r="BD30" s="22"/>
      <c r="BE30" s="16"/>
      <c r="BF30"/>
      <c r="BG30"/>
      <c r="BH30"/>
    </row>
    <row r="31" spans="1:60" s="7" customFormat="1" outlineLevel="1" x14ac:dyDescent="0.3">
      <c r="A31" s="16">
        <v>30</v>
      </c>
      <c r="B31" s="27" t="s">
        <v>88</v>
      </c>
      <c r="C31" s="28" t="s">
        <v>71</v>
      </c>
      <c r="D31" s="28"/>
      <c r="E31" s="28"/>
      <c r="F31" s="28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6"/>
      <c r="BD31" s="22"/>
      <c r="BE31" s="16"/>
      <c r="BF31"/>
      <c r="BG31"/>
      <c r="BH31"/>
    </row>
    <row r="32" spans="1:60" s="1" customFormat="1" outlineLevel="1" x14ac:dyDescent="0.3">
      <c r="A32" s="16">
        <v>31</v>
      </c>
      <c r="B32" s="25" t="s">
        <v>89</v>
      </c>
      <c r="C32" s="26"/>
      <c r="D32" s="26"/>
      <c r="E32" s="26"/>
      <c r="F32" s="26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6"/>
      <c r="BD32" s="22"/>
      <c r="BE32" s="16"/>
      <c r="BF32"/>
      <c r="BG32"/>
      <c r="BH32"/>
    </row>
    <row r="33" spans="1:60" s="7" customFormat="1" outlineLevel="1" x14ac:dyDescent="0.3">
      <c r="A33" s="16">
        <v>32</v>
      </c>
      <c r="B33" s="27" t="s">
        <v>90</v>
      </c>
      <c r="C33" s="28" t="s">
        <v>71</v>
      </c>
      <c r="D33" s="28"/>
      <c r="E33" s="28"/>
      <c r="F33" s="28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6"/>
      <c r="BD33" s="22"/>
      <c r="BE33" s="16"/>
      <c r="BF33"/>
      <c r="BG33"/>
      <c r="BH33"/>
    </row>
    <row r="34" spans="1:60" s="7" customFormat="1" outlineLevel="1" x14ac:dyDescent="0.3">
      <c r="A34" s="16">
        <v>33</v>
      </c>
      <c r="B34" s="27" t="s">
        <v>91</v>
      </c>
      <c r="C34" s="28" t="s">
        <v>71</v>
      </c>
      <c r="D34" s="28"/>
      <c r="E34" s="28"/>
      <c r="F34" s="28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6"/>
      <c r="BD34" s="22"/>
      <c r="BE34" s="16"/>
      <c r="BF34"/>
      <c r="BG34"/>
      <c r="BH34"/>
    </row>
    <row r="35" spans="1:60" s="1" customFormat="1" outlineLevel="1" x14ac:dyDescent="0.3">
      <c r="A35" s="16">
        <v>34</v>
      </c>
      <c r="B35" s="25" t="s">
        <v>92</v>
      </c>
      <c r="C35" s="26"/>
      <c r="D35" s="26"/>
      <c r="E35" s="26"/>
      <c r="F35" s="26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6"/>
      <c r="BD35" s="22"/>
      <c r="BE35" s="16"/>
      <c r="BF35"/>
      <c r="BG35"/>
      <c r="BH35"/>
    </row>
    <row r="36" spans="1:60" outlineLevel="1" x14ac:dyDescent="0.3">
      <c r="A36" s="51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22"/>
      <c r="BE36" s="16"/>
    </row>
    <row r="37" spans="1:60" outlineLevel="1" x14ac:dyDescent="0.3">
      <c r="A37" s="51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6"/>
      <c r="BD37" s="22"/>
      <c r="BE37" s="16"/>
    </row>
    <row r="38" spans="1:60" s="1" customFormat="1" outlineLevel="1" x14ac:dyDescent="0.3">
      <c r="A38" s="16">
        <v>37</v>
      </c>
      <c r="B38" s="25" t="s">
        <v>95</v>
      </c>
      <c r="C38" s="26"/>
      <c r="D38" s="26"/>
      <c r="E38" s="26"/>
      <c r="F38" s="26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6"/>
      <c r="BD38" s="22"/>
      <c r="BE38" s="16"/>
      <c r="BF38"/>
      <c r="BG38"/>
      <c r="BH38"/>
    </row>
    <row r="39" spans="1:60" s="7" customFormat="1" outlineLevel="1" x14ac:dyDescent="0.3">
      <c r="A39" s="16">
        <v>38</v>
      </c>
      <c r="B39" s="27" t="s">
        <v>96</v>
      </c>
      <c r="C39" s="28" t="s">
        <v>71</v>
      </c>
      <c r="D39" s="28"/>
      <c r="E39" s="28"/>
      <c r="F39" s="28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6"/>
      <c r="BD39" s="22"/>
      <c r="BE39" s="16"/>
      <c r="BF39"/>
      <c r="BG39"/>
      <c r="BH39"/>
    </row>
    <row r="40" spans="1:60" s="7" customFormat="1" outlineLevel="1" x14ac:dyDescent="0.3">
      <c r="A40" s="16">
        <v>39</v>
      </c>
      <c r="B40" s="27" t="s">
        <v>97</v>
      </c>
      <c r="C40" s="28" t="s">
        <v>71</v>
      </c>
      <c r="D40" s="28"/>
      <c r="E40" s="28"/>
      <c r="F40" s="28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6"/>
      <c r="BD40" s="22"/>
      <c r="BE40" s="16"/>
      <c r="BF40"/>
      <c r="BG40"/>
      <c r="BH40"/>
    </row>
    <row r="41" spans="1:60" s="1" customFormat="1" outlineLevel="1" x14ac:dyDescent="0.3">
      <c r="A41" s="16">
        <v>40</v>
      </c>
      <c r="B41" s="25" t="s">
        <v>98</v>
      </c>
      <c r="C41" s="26"/>
      <c r="D41" s="26"/>
      <c r="E41" s="26"/>
      <c r="F41" s="26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6"/>
      <c r="BD41" s="22"/>
      <c r="BE41" s="16"/>
      <c r="BF41"/>
      <c r="BG41"/>
      <c r="BH41"/>
    </row>
    <row r="42" spans="1:60" s="7" customFormat="1" outlineLevel="1" x14ac:dyDescent="0.3">
      <c r="A42" s="16">
        <v>41</v>
      </c>
      <c r="B42" s="27" t="s">
        <v>99</v>
      </c>
      <c r="C42" s="28" t="s">
        <v>71</v>
      </c>
      <c r="D42" s="28"/>
      <c r="E42" s="28"/>
      <c r="F42" s="28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6"/>
      <c r="BD42" s="22"/>
      <c r="BE42" s="16"/>
      <c r="BF42"/>
      <c r="BG42"/>
      <c r="BH42"/>
    </row>
    <row r="43" spans="1:60" s="7" customFormat="1" outlineLevel="1" x14ac:dyDescent="0.3">
      <c r="A43" s="16">
        <v>42</v>
      </c>
      <c r="B43" s="27" t="s">
        <v>100</v>
      </c>
      <c r="C43" s="28" t="s">
        <v>71</v>
      </c>
      <c r="D43" s="28"/>
      <c r="E43" s="28"/>
      <c r="F43" s="28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6"/>
      <c r="BD43" s="22"/>
      <c r="BE43" s="16"/>
      <c r="BF43"/>
      <c r="BG43"/>
      <c r="BH43"/>
    </row>
    <row r="44" spans="1:60" s="1" customFormat="1" outlineLevel="1" x14ac:dyDescent="0.3">
      <c r="A44" s="16">
        <v>43</v>
      </c>
      <c r="B44" s="25" t="s">
        <v>101</v>
      </c>
      <c r="C44" s="26"/>
      <c r="D44" s="26"/>
      <c r="E44" s="26"/>
      <c r="F44" s="26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6"/>
      <c r="BD44" s="22"/>
      <c r="BE44" s="16"/>
      <c r="BF44"/>
      <c r="BG44"/>
      <c r="BH44"/>
    </row>
    <row r="45" spans="1:60" s="7" customFormat="1" outlineLevel="1" x14ac:dyDescent="0.3">
      <c r="A45" s="16">
        <v>44</v>
      </c>
      <c r="B45" s="27" t="s">
        <v>102</v>
      </c>
      <c r="C45" s="28" t="s">
        <v>71</v>
      </c>
      <c r="D45" s="28"/>
      <c r="E45" s="28"/>
      <c r="F45" s="28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6"/>
      <c r="BD45" s="22"/>
      <c r="BE45" s="16"/>
      <c r="BF45"/>
      <c r="BG45"/>
      <c r="BH45"/>
    </row>
    <row r="46" spans="1:60" s="7" customFormat="1" outlineLevel="1" x14ac:dyDescent="0.3">
      <c r="A46" s="16">
        <v>45</v>
      </c>
      <c r="B46" s="27" t="s">
        <v>103</v>
      </c>
      <c r="C46" s="28" t="s">
        <v>71</v>
      </c>
      <c r="D46" s="28"/>
      <c r="E46" s="28"/>
      <c r="F46" s="28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6"/>
      <c r="BD46" s="22"/>
      <c r="BE46" s="16"/>
      <c r="BF46"/>
      <c r="BG46"/>
      <c r="BH46"/>
    </row>
    <row r="47" spans="1:60" s="1" customFormat="1" outlineLevel="1" x14ac:dyDescent="0.3">
      <c r="A47" s="16">
        <v>46</v>
      </c>
      <c r="B47" s="25" t="s">
        <v>104</v>
      </c>
      <c r="C47" s="26"/>
      <c r="D47" s="26"/>
      <c r="E47" s="26"/>
      <c r="F47" s="26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6"/>
      <c r="BD47" s="22"/>
      <c r="BE47" s="16"/>
      <c r="BF47"/>
      <c r="BG47"/>
      <c r="BH47"/>
    </row>
    <row r="48" spans="1:60" s="7" customFormat="1" outlineLevel="1" x14ac:dyDescent="0.3">
      <c r="A48" s="16">
        <v>47</v>
      </c>
      <c r="B48" s="27" t="s">
        <v>105</v>
      </c>
      <c r="C48" s="28" t="s">
        <v>71</v>
      </c>
      <c r="D48" s="28"/>
      <c r="E48" s="28"/>
      <c r="F48" s="28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6"/>
      <c r="BD48" s="22"/>
      <c r="BE48" s="16"/>
      <c r="BF48"/>
      <c r="BG48"/>
      <c r="BH48"/>
    </row>
    <row r="49" spans="1:60" s="7" customFormat="1" outlineLevel="1" x14ac:dyDescent="0.3">
      <c r="A49" s="16">
        <v>48</v>
      </c>
      <c r="B49" s="27" t="s">
        <v>106</v>
      </c>
      <c r="C49" s="28" t="s">
        <v>71</v>
      </c>
      <c r="D49" s="28"/>
      <c r="E49" s="28"/>
      <c r="F49" s="28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6"/>
      <c r="BD49" s="22"/>
      <c r="BE49" s="16"/>
      <c r="BF49"/>
      <c r="BG49"/>
      <c r="BH49"/>
    </row>
    <row r="50" spans="1:60" s="1" customFormat="1" outlineLevel="1" x14ac:dyDescent="0.3">
      <c r="A50" s="16">
        <v>49</v>
      </c>
      <c r="B50" s="25" t="s">
        <v>107</v>
      </c>
      <c r="C50" s="26"/>
      <c r="D50" s="26"/>
      <c r="E50" s="26"/>
      <c r="F50" s="26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6"/>
      <c r="BD50" s="22"/>
      <c r="BE50" s="16"/>
      <c r="BF50"/>
      <c r="BG50"/>
      <c r="BH50"/>
    </row>
    <row r="51" spans="1:60" s="7" customFormat="1" outlineLevel="1" x14ac:dyDescent="0.3">
      <c r="A51" s="16">
        <v>50</v>
      </c>
      <c r="B51" s="27" t="s">
        <v>108</v>
      </c>
      <c r="C51" s="28" t="s">
        <v>71</v>
      </c>
      <c r="D51" s="28"/>
      <c r="E51" s="28"/>
      <c r="F51" s="28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6"/>
      <c r="BD51" s="22"/>
      <c r="BE51" s="16"/>
      <c r="BF51"/>
      <c r="BG51"/>
      <c r="BH51"/>
    </row>
    <row r="52" spans="1:60" s="7" customFormat="1" outlineLevel="1" x14ac:dyDescent="0.3">
      <c r="A52" s="16">
        <v>51</v>
      </c>
      <c r="B52" s="27" t="s">
        <v>109</v>
      </c>
      <c r="C52" s="28" t="s">
        <v>71</v>
      </c>
      <c r="D52" s="28"/>
      <c r="E52" s="28"/>
      <c r="F52" s="28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6"/>
      <c r="BD52" s="22"/>
      <c r="BE52" s="16"/>
      <c r="BF52"/>
      <c r="BG52"/>
      <c r="BH52"/>
    </row>
    <row r="53" spans="1:60" s="1" customFormat="1" outlineLevel="1" x14ac:dyDescent="0.3">
      <c r="A53" s="16">
        <v>52</v>
      </c>
      <c r="B53" s="25" t="s">
        <v>110</v>
      </c>
      <c r="C53" s="26"/>
      <c r="D53" s="26"/>
      <c r="E53" s="26"/>
      <c r="F53" s="26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6"/>
      <c r="BD53" s="22"/>
      <c r="BE53" s="16"/>
      <c r="BF53"/>
      <c r="BG53"/>
      <c r="BH53"/>
    </row>
    <row r="54" spans="1:60" s="7" customFormat="1" outlineLevel="1" x14ac:dyDescent="0.3">
      <c r="A54" s="51">
        <v>53</v>
      </c>
      <c r="B54" s="27" t="s">
        <v>111</v>
      </c>
      <c r="C54" s="28" t="s">
        <v>71</v>
      </c>
      <c r="D54" s="28"/>
      <c r="E54" s="28"/>
      <c r="F54" s="28">
        <v>1</v>
      </c>
      <c r="G54" s="20">
        <v>2.5</v>
      </c>
      <c r="H54" s="19">
        <f>($G$54*5/Misc!$L$12)-0.1</f>
        <v>2.4</v>
      </c>
      <c r="I54" s="19">
        <f>($G$54*5/Misc!$L$12)+0.1</f>
        <v>2.6</v>
      </c>
      <c r="J54" s="20">
        <v>2.5</v>
      </c>
      <c r="K54" s="19">
        <f>($J$54*5/Misc!$L$13)-0.1</f>
        <v>2.4</v>
      </c>
      <c r="L54" s="19">
        <f>($J$54*5/Misc!$L$13)+0.1</f>
        <v>2.6</v>
      </c>
      <c r="M54" s="20">
        <v>2.5</v>
      </c>
      <c r="N54" s="19">
        <f>($M$54*5/Misc!$L$14)-0.1</f>
        <v>2.4</v>
      </c>
      <c r="O54" s="19">
        <f>($M$54*5/Misc!$L$14)+0.1</f>
        <v>2.6</v>
      </c>
      <c r="P54" s="20">
        <v>2.5</v>
      </c>
      <c r="Q54" s="19">
        <f>($P$54*5/Misc!$L$15)-0.1</f>
        <v>2.4</v>
      </c>
      <c r="R54" s="19">
        <f>($P$54*5/Misc!$L$15)+0.1</f>
        <v>2.6</v>
      </c>
      <c r="S54" s="20">
        <v>2.5</v>
      </c>
      <c r="T54" s="19">
        <f>($S$54*5/Misc!$L$16)-0.1</f>
        <v>2.4</v>
      </c>
      <c r="U54" s="19">
        <f>($S$54*5/Misc!$L$16)+0.1</f>
        <v>2.6</v>
      </c>
      <c r="V54" s="20">
        <v>2.5</v>
      </c>
      <c r="W54" s="19">
        <f>($V$54*5/Misc!$L$17)-0.1</f>
        <v>2.4</v>
      </c>
      <c r="X54" s="19">
        <f>($V$54*5/Misc!$L$17)+0.1</f>
        <v>2.6</v>
      </c>
      <c r="Y54" s="20">
        <v>2.5</v>
      </c>
      <c r="Z54" s="19">
        <f>($Y$54*5/Misc!$L$18)-0.1</f>
        <v>2.4</v>
      </c>
      <c r="AA54" s="19">
        <f>($Y$54*5/Misc!$L$18)+0.1</f>
        <v>2.6</v>
      </c>
      <c r="AB54" s="20">
        <v>2.48</v>
      </c>
      <c r="AC54" s="19">
        <f>($AB$54*5/Misc!$L$19)-0.1</f>
        <v>2.38</v>
      </c>
      <c r="AD54" s="19">
        <f>($AB$54*5/Misc!$L$19)+0.1</f>
        <v>2.58</v>
      </c>
      <c r="AE54" s="20">
        <v>2.5</v>
      </c>
      <c r="AF54" s="19">
        <f>($AE$54*5/Misc!$L$20)-0.1</f>
        <v>2.4</v>
      </c>
      <c r="AG54" s="19">
        <f>($AE$54*5/Misc!$L$20)+0.1</f>
        <v>2.6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6"/>
      <c r="BD54" s="22"/>
      <c r="BE54" s="16"/>
      <c r="BF54"/>
      <c r="BG54"/>
      <c r="BH54"/>
    </row>
    <row r="55" spans="1:60" s="7" customFormat="1" outlineLevel="1" x14ac:dyDescent="0.3">
      <c r="A55" s="51">
        <v>54</v>
      </c>
      <c r="B55" s="27" t="s">
        <v>112</v>
      </c>
      <c r="C55" s="28" t="s">
        <v>71</v>
      </c>
      <c r="D55" s="28"/>
      <c r="E55" s="28"/>
      <c r="F55" s="28">
        <v>1</v>
      </c>
      <c r="G55" s="20">
        <v>2.5</v>
      </c>
      <c r="H55" s="19">
        <f>($G$55*5/Misc!$L$12)-0.1</f>
        <v>2.4</v>
      </c>
      <c r="I55" s="19">
        <f>($G$55*5/Misc!$L$12)+0.1</f>
        <v>2.6</v>
      </c>
      <c r="J55" s="20">
        <v>2.5</v>
      </c>
      <c r="K55" s="19">
        <f>($J$55*5/Misc!$L$13)-0.1</f>
        <v>2.4</v>
      </c>
      <c r="L55" s="19">
        <f>($J$55*5/Misc!$L$13)+0.1</f>
        <v>2.6</v>
      </c>
      <c r="M55" s="20">
        <v>2.5</v>
      </c>
      <c r="N55" s="19">
        <f>($M$55*5/Misc!$L$14)-0.1</f>
        <v>2.4</v>
      </c>
      <c r="O55" s="19">
        <f>($M$55*5/Misc!$L$14)+0.1</f>
        <v>2.6</v>
      </c>
      <c r="P55" s="20">
        <v>2.5</v>
      </c>
      <c r="Q55" s="19">
        <f>($P$55*5/Misc!$L$15)-0.1</f>
        <v>2.4</v>
      </c>
      <c r="R55" s="19">
        <f>($P$55*5/Misc!$L$15)+0.1</f>
        <v>2.6</v>
      </c>
      <c r="S55" s="20">
        <v>2.5</v>
      </c>
      <c r="T55" s="19">
        <f>($S$55*5/Misc!$L$16)-0.1</f>
        <v>2.4</v>
      </c>
      <c r="U55" s="19">
        <f>($S$55*5/Misc!$L$16)+0.1</f>
        <v>2.6</v>
      </c>
      <c r="V55" s="20">
        <v>2.5</v>
      </c>
      <c r="W55" s="19">
        <f>($V$55*5/Misc!$L$17)-0.1</f>
        <v>2.4</v>
      </c>
      <c r="X55" s="19">
        <f>($V$55*5/Misc!$L$17)+0.1</f>
        <v>2.6</v>
      </c>
      <c r="Y55" s="20">
        <v>2.5</v>
      </c>
      <c r="Z55" s="19">
        <f>($Y$55*5/Misc!$L$18)-0.1</f>
        <v>2.4</v>
      </c>
      <c r="AA55" s="19">
        <f>($Y$55*5/Misc!$L$18)+0.1</f>
        <v>2.6</v>
      </c>
      <c r="AB55" s="20">
        <v>2.65</v>
      </c>
      <c r="AC55" s="19">
        <f>($AB$55*5/Misc!$L$19)-0.1</f>
        <v>2.5499999999999998</v>
      </c>
      <c r="AD55" s="19">
        <f>($AB$55*5/Misc!$L$19)+0.1</f>
        <v>2.75</v>
      </c>
      <c r="AE55" s="20">
        <v>2.67</v>
      </c>
      <c r="AF55" s="19">
        <f>($AE$55*5/Misc!$L$20)-0.1</f>
        <v>2.57</v>
      </c>
      <c r="AG55" s="19">
        <f>($AE$55*5/Misc!$L$20)+0.1</f>
        <v>2.77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6"/>
      <c r="BD55" s="22"/>
      <c r="BE55" s="16"/>
      <c r="BF55"/>
      <c r="BG55"/>
      <c r="BH55"/>
    </row>
    <row r="56" spans="1:60" s="1" customFormat="1" outlineLevel="1" x14ac:dyDescent="0.3">
      <c r="A56" s="16">
        <v>55</v>
      </c>
      <c r="B56" s="25" t="s">
        <v>113</v>
      </c>
      <c r="C56" s="26"/>
      <c r="D56" s="26"/>
      <c r="E56" s="26"/>
      <c r="F56" s="26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6"/>
      <c r="BD56" s="22"/>
      <c r="BE56" s="16"/>
      <c r="BF56"/>
      <c r="BG56"/>
      <c r="BH56"/>
    </row>
    <row r="57" spans="1:60" s="7" customFormat="1" outlineLevel="1" x14ac:dyDescent="0.3">
      <c r="A57" s="16">
        <v>56</v>
      </c>
      <c r="B57" s="27" t="s">
        <v>114</v>
      </c>
      <c r="C57" s="28" t="s">
        <v>71</v>
      </c>
      <c r="D57" s="28"/>
      <c r="E57" s="28"/>
      <c r="F57" s="28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6"/>
      <c r="BD57" s="22"/>
      <c r="BE57" s="16"/>
      <c r="BF57"/>
      <c r="BG57"/>
      <c r="BH57"/>
    </row>
    <row r="58" spans="1:60" s="7" customFormat="1" outlineLevel="1" x14ac:dyDescent="0.3">
      <c r="A58" s="16">
        <v>57</v>
      </c>
      <c r="B58" s="27" t="s">
        <v>115</v>
      </c>
      <c r="C58" s="28" t="s">
        <v>71</v>
      </c>
      <c r="D58" s="28"/>
      <c r="E58" s="28"/>
      <c r="F58" s="28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6"/>
      <c r="BD58" s="22"/>
      <c r="BE58" s="16"/>
      <c r="BF58"/>
      <c r="BG58"/>
      <c r="BH58"/>
    </row>
    <row r="59" spans="1:60" s="1" customFormat="1" outlineLevel="1" x14ac:dyDescent="0.3">
      <c r="A59" s="16">
        <v>58</v>
      </c>
      <c r="B59" s="25" t="s">
        <v>116</v>
      </c>
      <c r="C59" s="26"/>
      <c r="D59" s="26"/>
      <c r="E59" s="26"/>
      <c r="F59" s="26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6"/>
      <c r="BD59" s="22"/>
      <c r="BE59" s="16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6"/>
      <c r="BD60" s="22"/>
      <c r="BE60" s="16"/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6"/>
      <c r="BD61" s="22"/>
      <c r="BE61" s="16"/>
    </row>
    <row r="62" spans="1:60" s="1" customFormat="1" outlineLevel="1" x14ac:dyDescent="0.3">
      <c r="A62" s="16">
        <v>61</v>
      </c>
      <c r="B62" s="25" t="s">
        <v>119</v>
      </c>
      <c r="C62" s="26"/>
      <c r="D62" s="26"/>
      <c r="E62" s="26"/>
      <c r="F62" s="26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6"/>
      <c r="BD62" s="22"/>
      <c r="BE62" s="16"/>
      <c r="BF62"/>
      <c r="BG62"/>
      <c r="BH62"/>
    </row>
    <row r="63" spans="1:60" outlineLevel="1" x14ac:dyDescent="0.3">
      <c r="A63" s="51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2.4900000000000002</v>
      </c>
      <c r="H63" s="19">
        <f>($G$63*5/Misc!$L$12)-0.015</f>
        <v>2.4750000000000001</v>
      </c>
      <c r="I63" s="19">
        <f>($G$63*5/Misc!$L$12)+0.015</f>
        <v>2.5050000000000003</v>
      </c>
      <c r="J63" s="20">
        <v>2.4900000000000002</v>
      </c>
      <c r="K63" s="19">
        <f>($J$63*5/Misc!$L$13)-0.015</f>
        <v>2.4750000000000001</v>
      </c>
      <c r="L63" s="19">
        <f>($J$63*5/Misc!$L$13)+0.015</f>
        <v>2.5050000000000003</v>
      </c>
      <c r="M63" s="20">
        <v>2.4900000000000002</v>
      </c>
      <c r="N63" s="19">
        <f>($M$63*5/Misc!$L$14)-0.015</f>
        <v>2.4750000000000001</v>
      </c>
      <c r="O63" s="19">
        <f>($M$63*5/Misc!$L$14)+0.015</f>
        <v>2.5050000000000003</v>
      </c>
      <c r="P63" s="20">
        <v>2.4900000000000002</v>
      </c>
      <c r="Q63" s="19">
        <f>($P$63*5/Misc!$L$15)-0.015</f>
        <v>2.4750000000000001</v>
      </c>
      <c r="R63" s="19">
        <f>($P$63*5/Misc!$L$15)+0.015</f>
        <v>2.5050000000000003</v>
      </c>
      <c r="S63" s="20">
        <v>2.4900000000000002</v>
      </c>
      <c r="T63" s="19">
        <f>($S$63*5/Misc!$L$16)-0.015</f>
        <v>2.4750000000000001</v>
      </c>
      <c r="U63" s="19">
        <f>($S$63*5/Misc!$L$16)+0.015</f>
        <v>2.5050000000000003</v>
      </c>
      <c r="V63" s="20">
        <v>2.4900000000000002</v>
      </c>
      <c r="W63" s="19">
        <f>($V$63*5/Misc!$L$17)-0.015</f>
        <v>2.4750000000000001</v>
      </c>
      <c r="X63" s="19">
        <f>($V$63*5/Misc!$L$17)+0.015</f>
        <v>2.5050000000000003</v>
      </c>
      <c r="Y63" s="20">
        <v>2.4900000000000002</v>
      </c>
      <c r="Z63" s="19">
        <f>($Y$63*5/Misc!$L$18)-0.015</f>
        <v>2.4750000000000001</v>
      </c>
      <c r="AA63" s="19">
        <f>($Y$63*5/Misc!$L$18)+0.015</f>
        <v>2.5050000000000003</v>
      </c>
      <c r="AB63" s="20">
        <v>2.4900000000000002</v>
      </c>
      <c r="AC63" s="19">
        <f>($AB$63*5/Misc!$L$19)-0.015</f>
        <v>2.4750000000000001</v>
      </c>
      <c r="AD63" s="19">
        <f>($AB$63*5/Misc!$L$19)+0.015</f>
        <v>2.5050000000000003</v>
      </c>
      <c r="AE63" s="20">
        <v>2.4740000000000002</v>
      </c>
      <c r="AF63" s="19">
        <f>($AE$63*5/Misc!$L$20)-0.015</f>
        <v>2.4590000000000001</v>
      </c>
      <c r="AG63" s="19">
        <f>($AE$63*5/Misc!$L$20)+0.015</f>
        <v>2.4890000000000003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6"/>
      <c r="BD63" s="22"/>
      <c r="BE63" s="16"/>
    </row>
    <row r="64" spans="1:60" outlineLevel="1" x14ac:dyDescent="0.3">
      <c r="A64" s="51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2.4950000000000001</v>
      </c>
      <c r="H64" s="19">
        <f>($G$64*5/Misc!$L$12)-0.015</f>
        <v>2.48</v>
      </c>
      <c r="I64" s="19">
        <f>($G$64*5/Misc!$L$12)+0.015</f>
        <v>2.5100000000000002</v>
      </c>
      <c r="J64" s="20">
        <v>2.4950000000000001</v>
      </c>
      <c r="K64" s="19">
        <f>($J$64*5/Misc!$L$13)-0.015</f>
        <v>2.48</v>
      </c>
      <c r="L64" s="19">
        <f>($J$64*5/Misc!$L$13)+0.015</f>
        <v>2.5100000000000002</v>
      </c>
      <c r="M64" s="20">
        <v>2.4950000000000001</v>
      </c>
      <c r="N64" s="19">
        <f>($M$64*5/Misc!$L$14)-0.015</f>
        <v>2.48</v>
      </c>
      <c r="O64" s="19">
        <f>($M$64*5/Misc!$L$14)+0.015</f>
        <v>2.5100000000000002</v>
      </c>
      <c r="P64" s="20">
        <v>2.4950000000000001</v>
      </c>
      <c r="Q64" s="19">
        <f>($P$64*5/Misc!$L$15)-0.015</f>
        <v>2.48</v>
      </c>
      <c r="R64" s="19">
        <f>($P$64*5/Misc!$L$15)+0.015</f>
        <v>2.5100000000000002</v>
      </c>
      <c r="S64" s="20">
        <v>2.4950000000000001</v>
      </c>
      <c r="T64" s="19">
        <f>($S$64*5/Misc!$L$16)-0.015</f>
        <v>2.48</v>
      </c>
      <c r="U64" s="19">
        <f>($S$64*5/Misc!$L$16)+0.015</f>
        <v>2.5100000000000002</v>
      </c>
      <c r="V64" s="20">
        <v>2.4950000000000001</v>
      </c>
      <c r="W64" s="19">
        <f>($V$64*5/Misc!$L$17)-0.015</f>
        <v>2.48</v>
      </c>
      <c r="X64" s="19">
        <f>($V$64*5/Misc!$L$17)+0.015</f>
        <v>2.5100000000000002</v>
      </c>
      <c r="Y64" s="20">
        <v>2.4950000000000001</v>
      </c>
      <c r="Z64" s="19">
        <f>($Y$64*5/Misc!$L$18)-0.015</f>
        <v>2.48</v>
      </c>
      <c r="AA64" s="19">
        <f>($Y$64*5/Misc!$L$18)+0.015</f>
        <v>2.5100000000000002</v>
      </c>
      <c r="AB64" s="20">
        <v>2.4950000000000001</v>
      </c>
      <c r="AC64" s="19">
        <f>($AB$64*5/Misc!$L$19)-0.015</f>
        <v>2.48</v>
      </c>
      <c r="AD64" s="19">
        <f>($AB$64*5/Misc!$L$19)+0.015</f>
        <v>2.5100000000000002</v>
      </c>
      <c r="AE64" s="20">
        <v>2.4769999999999999</v>
      </c>
      <c r="AF64" s="19">
        <f>($AE$64*5/Misc!$L$20)-0.015</f>
        <v>2.4619999999999997</v>
      </c>
      <c r="AG64" s="19">
        <f>($AE$64*5/Misc!$L$20)+0.015</f>
        <v>2.492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6"/>
      <c r="BD64" s="22"/>
      <c r="BE64" s="16"/>
    </row>
    <row r="65" spans="1:60" s="1" customFormat="1" ht="15" customHeight="1" outlineLevel="1" x14ac:dyDescent="0.3">
      <c r="A65" s="16">
        <v>64</v>
      </c>
      <c r="B65" s="25" t="s">
        <v>122</v>
      </c>
      <c r="C65" s="26"/>
      <c r="D65" s="26"/>
      <c r="E65" s="26"/>
      <c r="F65" s="26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6"/>
      <c r="BD65" s="22"/>
      <c r="BE65" s="16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6"/>
      <c r="BD66" s="22"/>
      <c r="BE66" s="16"/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6"/>
      <c r="BD67" s="22"/>
      <c r="BE67" s="16"/>
    </row>
    <row r="68" spans="1:60" s="1" customFormat="1" outlineLevel="1" x14ac:dyDescent="0.3">
      <c r="A68" s="16">
        <v>67</v>
      </c>
      <c r="B68" s="25" t="s">
        <v>125</v>
      </c>
      <c r="C68" s="26"/>
      <c r="D68" s="26"/>
      <c r="E68" s="26"/>
      <c r="F68" s="26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6"/>
      <c r="BD68" s="22"/>
      <c r="BE68" s="16"/>
      <c r="BF68"/>
      <c r="BG68"/>
      <c r="BH68"/>
    </row>
    <row r="69" spans="1:60" s="7" customFormat="1" outlineLevel="1" x14ac:dyDescent="0.3">
      <c r="A69" s="16">
        <v>68</v>
      </c>
      <c r="B69" s="27" t="s">
        <v>126</v>
      </c>
      <c r="C69" s="28" t="s">
        <v>71</v>
      </c>
      <c r="D69" s="28"/>
      <c r="E69" s="28"/>
      <c r="F69" s="28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6"/>
      <c r="BD69" s="22"/>
      <c r="BE69" s="16"/>
      <c r="BF69"/>
      <c r="BG69"/>
      <c r="BH69"/>
    </row>
    <row r="70" spans="1:60" s="7" customFormat="1" outlineLevel="1" x14ac:dyDescent="0.3">
      <c r="A70" s="16">
        <v>69</v>
      </c>
      <c r="B70" s="27" t="s">
        <v>127</v>
      </c>
      <c r="C70" s="28" t="s">
        <v>71</v>
      </c>
      <c r="D70" s="28"/>
      <c r="E70" s="28"/>
      <c r="F70" s="28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6"/>
      <c r="BD70" s="22"/>
      <c r="BE70" s="16"/>
      <c r="BF70"/>
      <c r="BG70"/>
      <c r="BH70"/>
    </row>
    <row r="71" spans="1:60" s="1" customFormat="1" ht="13.95" customHeight="1" outlineLevel="1" x14ac:dyDescent="0.3">
      <c r="A71" s="16">
        <v>70</v>
      </c>
      <c r="B71" s="25" t="s">
        <v>128</v>
      </c>
      <c r="C71" s="26"/>
      <c r="D71" s="26"/>
      <c r="E71" s="26"/>
      <c r="F71" s="26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6"/>
      <c r="BD71" s="22"/>
      <c r="BE71" s="16"/>
      <c r="BF71"/>
      <c r="BG71"/>
      <c r="BH71"/>
    </row>
    <row r="72" spans="1:60" s="7" customFormat="1" outlineLevel="1" x14ac:dyDescent="0.3">
      <c r="A72" s="16">
        <v>71</v>
      </c>
      <c r="B72" s="27" t="s">
        <v>129</v>
      </c>
      <c r="C72" s="28" t="s">
        <v>71</v>
      </c>
      <c r="D72" s="28"/>
      <c r="E72" s="28"/>
      <c r="F72" s="28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6"/>
      <c r="BD72" s="22"/>
      <c r="BE72" s="16"/>
      <c r="BF72"/>
      <c r="BG72"/>
      <c r="BH72"/>
    </row>
    <row r="73" spans="1:60" s="7" customFormat="1" outlineLevel="1" x14ac:dyDescent="0.3">
      <c r="A73" s="16">
        <v>72</v>
      </c>
      <c r="B73" s="27" t="s">
        <v>130</v>
      </c>
      <c r="C73" s="28" t="s">
        <v>71</v>
      </c>
      <c r="D73" s="28"/>
      <c r="E73" s="28"/>
      <c r="F73" s="28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6"/>
      <c r="BD73" s="22"/>
      <c r="BE73" s="16"/>
      <c r="BF73"/>
      <c r="BG73"/>
      <c r="BH73"/>
    </row>
    <row r="74" spans="1:60" s="1" customFormat="1" outlineLevel="1" x14ac:dyDescent="0.3">
      <c r="A74" s="16">
        <v>73</v>
      </c>
      <c r="B74" s="25" t="s">
        <v>131</v>
      </c>
      <c r="C74" s="26"/>
      <c r="D74" s="26"/>
      <c r="E74" s="26"/>
      <c r="F74" s="26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6"/>
      <c r="BD74" s="22"/>
      <c r="BE74" s="16"/>
      <c r="BF74"/>
      <c r="BG74"/>
      <c r="BH74"/>
    </row>
    <row r="75" spans="1:60" s="7" customFormat="1" outlineLevel="1" x14ac:dyDescent="0.3">
      <c r="A75" s="16">
        <v>74</v>
      </c>
      <c r="B75" s="27" t="s">
        <v>132</v>
      </c>
      <c r="C75" s="28" t="s">
        <v>71</v>
      </c>
      <c r="D75" s="28"/>
      <c r="E75" s="28"/>
      <c r="F75" s="28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6"/>
      <c r="BD75" s="22"/>
      <c r="BE75" s="16"/>
      <c r="BF75"/>
      <c r="BG75"/>
      <c r="BH75"/>
    </row>
    <row r="76" spans="1:60" s="7" customFormat="1" outlineLevel="1" x14ac:dyDescent="0.3">
      <c r="A76" s="16">
        <v>75</v>
      </c>
      <c r="B76" s="27" t="s">
        <v>133</v>
      </c>
      <c r="C76" s="28" t="s">
        <v>71</v>
      </c>
      <c r="D76" s="28"/>
      <c r="E76" s="28"/>
      <c r="F76" s="28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6"/>
      <c r="BD76" s="22"/>
      <c r="BE76" s="16"/>
      <c r="BF76"/>
      <c r="BG76"/>
      <c r="BH76"/>
    </row>
    <row r="77" spans="1:60" s="1" customFormat="1" outlineLevel="1" x14ac:dyDescent="0.3">
      <c r="A77" s="16">
        <v>76</v>
      </c>
      <c r="B77" s="25" t="s">
        <v>134</v>
      </c>
      <c r="C77" s="26"/>
      <c r="D77" s="26"/>
      <c r="E77" s="26"/>
      <c r="F77" s="26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6"/>
      <c r="BD77" s="22"/>
      <c r="BE77" s="16"/>
      <c r="BF77"/>
      <c r="BG77"/>
      <c r="BH77"/>
    </row>
    <row r="78" spans="1:60" outlineLevel="1" x14ac:dyDescent="0.3">
      <c r="A78" s="51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10.66</v>
      </c>
      <c r="AC78" s="19">
        <f>(($AB$78)*(5*0.92/Misc!$L$19)-0.02*3.75)-0.65</f>
        <v>9.082200000000002</v>
      </c>
      <c r="AD78" s="19">
        <f>(($AB$78)*(5*1.08/Misc!$L$19)+0.02*3.75)-0.65</f>
        <v>10.937799999999999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6"/>
      <c r="BD78" s="22"/>
      <c r="BE78" s="16"/>
    </row>
    <row r="79" spans="1:60" outlineLevel="1" x14ac:dyDescent="0.3">
      <c r="A79" s="51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10.75</v>
      </c>
      <c r="H79" s="19">
        <f>(($G$79)*(5*0.92/Misc!$L$12)-0.02*3.75)-0.65</f>
        <v>9.1650000000000027</v>
      </c>
      <c r="I79" s="19">
        <f>(($G$79)*(5*1.08/Misc!$L$12)+0.02*3.75)-0.65</f>
        <v>11.035</v>
      </c>
      <c r="J79" s="20">
        <v>11.1</v>
      </c>
      <c r="K79" s="19">
        <f>(($J$79)*(5*0.92/Misc!$L$13)-0.02*3.75)-0.65</f>
        <v>9.4870000000000019</v>
      </c>
      <c r="L79" s="19">
        <f>(($J$79)*(5*1.08/Misc!$L$13)+0.02*3.75)-0.65</f>
        <v>11.412999999999998</v>
      </c>
      <c r="M79" s="20">
        <v>10.73</v>
      </c>
      <c r="N79" s="19">
        <f>(($L$79)*(5*0.92/Misc!$L$14)-0.02*3.75)-0.65</f>
        <v>9.7749600000000001</v>
      </c>
      <c r="O79" s="19">
        <f>(($L$79)*(5*1.08/Misc!$L$14)+0.02*3.75)-0.65</f>
        <v>11.751039999999998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10.73</v>
      </c>
      <c r="AC79" s="19">
        <f>(($AB$79)*(5*0.92/Misc!$L$19)-0.02*3.75)-0.65</f>
        <v>9.146600000000003</v>
      </c>
      <c r="AD79" s="19">
        <f>(($AB$79)*(5*1.08/Misc!$L$19)+0.02*3.75)-0.65</f>
        <v>11.013400000000001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6"/>
      <c r="BD79" s="22"/>
      <c r="BE79" s="16"/>
    </row>
    <row r="80" spans="1:60" s="1" customFormat="1" outlineLevel="1" x14ac:dyDescent="0.3">
      <c r="A80" s="16">
        <v>79</v>
      </c>
      <c r="B80" s="25" t="s">
        <v>137</v>
      </c>
      <c r="C80" s="26"/>
      <c r="D80" s="26"/>
      <c r="E80" s="26"/>
      <c r="F80" s="26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6"/>
      <c r="BD80" s="22"/>
      <c r="BE80" s="16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6"/>
      <c r="BD81" s="22"/>
      <c r="BE81" s="16"/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6"/>
      <c r="BD82" s="22"/>
      <c r="BE82" s="16"/>
    </row>
    <row r="83" spans="1:60" s="1" customFormat="1" outlineLevel="1" x14ac:dyDescent="0.3">
      <c r="A83" s="16">
        <v>82</v>
      </c>
      <c r="B83" s="25" t="s">
        <v>140</v>
      </c>
      <c r="C83" s="26"/>
      <c r="D83" s="26"/>
      <c r="E83" s="26"/>
      <c r="F83" s="26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6"/>
      <c r="BD83" s="22"/>
      <c r="BE83" s="16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6"/>
      <c r="BD84" s="22"/>
      <c r="BE84" s="16"/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6"/>
      <c r="BD85" s="22"/>
      <c r="BE85" s="16"/>
    </row>
    <row r="86" spans="1:60" s="1" customFormat="1" outlineLevel="1" x14ac:dyDescent="0.3">
      <c r="A86" s="16">
        <v>85</v>
      </c>
      <c r="B86" s="25" t="s">
        <v>143</v>
      </c>
      <c r="C86" s="26"/>
      <c r="D86" s="26"/>
      <c r="E86" s="26"/>
      <c r="F86" s="26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6"/>
      <c r="BD86" s="22"/>
      <c r="BE86" s="16"/>
      <c r="BF86"/>
      <c r="BG86"/>
      <c r="BH86"/>
    </row>
    <row r="87" spans="1:60" s="7" customFormat="1" outlineLevel="1" x14ac:dyDescent="0.3">
      <c r="A87" s="16">
        <v>86</v>
      </c>
      <c r="B87" s="27" t="s">
        <v>144</v>
      </c>
      <c r="C87" s="28" t="s">
        <v>71</v>
      </c>
      <c r="D87" s="28"/>
      <c r="E87" s="28"/>
      <c r="F87" s="28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6"/>
      <c r="BD87" s="22"/>
      <c r="BE87" s="16"/>
      <c r="BF87"/>
      <c r="BG87"/>
      <c r="BH87"/>
    </row>
    <row r="88" spans="1:60" s="7" customFormat="1" outlineLevel="1" x14ac:dyDescent="0.3">
      <c r="A88" s="16">
        <v>87</v>
      </c>
      <c r="B88" s="27" t="s">
        <v>145</v>
      </c>
      <c r="C88" s="28" t="s">
        <v>71</v>
      </c>
      <c r="D88" s="28"/>
      <c r="E88" s="28"/>
      <c r="F88" s="28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6"/>
      <c r="BD88" s="22"/>
      <c r="BE88" s="16"/>
      <c r="BF88"/>
      <c r="BG88"/>
      <c r="BH88"/>
    </row>
    <row r="89" spans="1:60" s="1" customFormat="1" outlineLevel="1" x14ac:dyDescent="0.3">
      <c r="A89" s="16">
        <v>88</v>
      </c>
      <c r="B89" s="25" t="s">
        <v>146</v>
      </c>
      <c r="C89" s="26"/>
      <c r="D89" s="26"/>
      <c r="E89" s="26"/>
      <c r="F89" s="26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6"/>
      <c r="BD89" s="22"/>
      <c r="BE89" s="16"/>
      <c r="BF89"/>
      <c r="BG89"/>
      <c r="BH89"/>
    </row>
    <row r="90" spans="1:60" s="7" customFormat="1" outlineLevel="1" x14ac:dyDescent="0.3">
      <c r="A90" s="16">
        <v>89</v>
      </c>
      <c r="B90" s="27" t="s">
        <v>147</v>
      </c>
      <c r="C90" s="28" t="s">
        <v>71</v>
      </c>
      <c r="D90" s="28"/>
      <c r="E90" s="28"/>
      <c r="F90" s="28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6"/>
      <c r="BD90" s="22"/>
      <c r="BE90" s="16"/>
      <c r="BF90"/>
      <c r="BG90"/>
      <c r="BH90"/>
    </row>
    <row r="91" spans="1:60" s="7" customFormat="1" outlineLevel="1" x14ac:dyDescent="0.3">
      <c r="A91" s="16">
        <v>90</v>
      </c>
      <c r="B91" s="27" t="s">
        <v>148</v>
      </c>
      <c r="C91" s="28" t="s">
        <v>71</v>
      </c>
      <c r="D91" s="28"/>
      <c r="E91" s="28"/>
      <c r="F91" s="28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6"/>
      <c r="BD91" s="22"/>
      <c r="BE91" s="16"/>
      <c r="BF91"/>
      <c r="BG91"/>
      <c r="BH91"/>
    </row>
    <row r="92" spans="1:60" s="1" customFormat="1" outlineLevel="1" x14ac:dyDescent="0.3">
      <c r="A92" s="16">
        <v>91</v>
      </c>
      <c r="B92" s="25" t="s">
        <v>149</v>
      </c>
      <c r="C92" s="26"/>
      <c r="D92" s="26"/>
      <c r="E92" s="26"/>
      <c r="F92" s="26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6"/>
      <c r="BD92" s="22"/>
      <c r="BE92" s="16"/>
      <c r="BF92"/>
      <c r="BG92"/>
      <c r="BH92"/>
    </row>
    <row r="93" spans="1:60" s="7" customFormat="1" outlineLevel="1" x14ac:dyDescent="0.3">
      <c r="A93" s="51">
        <v>92</v>
      </c>
      <c r="B93" s="27" t="s">
        <v>150</v>
      </c>
      <c r="C93" s="28" t="s">
        <v>71</v>
      </c>
      <c r="D93" s="28"/>
      <c r="E93" s="28"/>
      <c r="F93" s="28">
        <v>1</v>
      </c>
      <c r="G93" s="20">
        <v>1.5449999999999999</v>
      </c>
      <c r="H93" s="19">
        <f>($G$93*5/Misc!$L$13)-0.08</f>
        <v>1.4649999999999999</v>
      </c>
      <c r="I93" s="19">
        <f>($G$93*5/Misc!$L$12)+0.08</f>
        <v>1.625</v>
      </c>
      <c r="J93" s="20">
        <v>1.5449999999999999</v>
      </c>
      <c r="K93" s="19">
        <f>($J$93*5/Misc!$L$13)-0.08</f>
        <v>1.4649999999999999</v>
      </c>
      <c r="L93" s="19">
        <f>($J$93*5/Misc!$L$13)+0.08</f>
        <v>1.625</v>
      </c>
      <c r="M93" s="20">
        <v>1.5449999999999999</v>
      </c>
      <c r="N93" s="19">
        <f>($M$93*5/Misc!$L$14)-0.08</f>
        <v>1.4649999999999999</v>
      </c>
      <c r="O93" s="19">
        <f>($M$93*5/Misc!$L$14)+0.08</f>
        <v>1.625</v>
      </c>
      <c r="P93" s="20">
        <v>1.5449999999999999</v>
      </c>
      <c r="Q93" s="19">
        <f>($P$93*5/Misc!$L$15)-0.08</f>
        <v>1.4649999999999999</v>
      </c>
      <c r="R93" s="19">
        <f>($P$93*5/Misc!$L$15)+0.08</f>
        <v>1.625</v>
      </c>
      <c r="S93" s="20">
        <v>1.5449999999999999</v>
      </c>
      <c r="T93" s="19">
        <f>($S$93*5/Misc!$L$16)-0.08</f>
        <v>1.4649999999999999</v>
      </c>
      <c r="U93" s="19">
        <f>($S$93*5/Misc!$L$16)+0.08</f>
        <v>1.625</v>
      </c>
      <c r="V93" s="20">
        <v>1.5449999999999999</v>
      </c>
      <c r="W93" s="19">
        <f>($V$93*5/Misc!$L$17)-0.08</f>
        <v>1.4649999999999999</v>
      </c>
      <c r="X93" s="19">
        <f>($V$93*5/Misc!$L$17)+0.08</f>
        <v>1.625</v>
      </c>
      <c r="Y93" s="20">
        <v>1.5449999999999999</v>
      </c>
      <c r="Z93" s="19">
        <f>($Y$93*5/Misc!$L$18)-0.08</f>
        <v>1.4649999999999999</v>
      </c>
      <c r="AA93" s="19">
        <f>($Y$93*5/Misc!$L$18)+0.08</f>
        <v>1.625</v>
      </c>
      <c r="AB93" s="20">
        <v>1.5449999999999999</v>
      </c>
      <c r="AC93" s="19">
        <f>($AB$93*5/Misc!$L$19)-0.08</f>
        <v>1.4649999999999999</v>
      </c>
      <c r="AD93" s="19">
        <f>($AB$93*5/Misc!$L$19)+0.08</f>
        <v>1.625</v>
      </c>
      <c r="AE93" s="20">
        <v>1.45</v>
      </c>
      <c r="AF93" s="19">
        <f>($AE$93*5/Misc!$L$20)-0.08</f>
        <v>1.3699999999999999</v>
      </c>
      <c r="AG93" s="19">
        <f>($AE$93*5/Misc!$L$20)+0.08</f>
        <v>1.53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6"/>
      <c r="BD93" s="22"/>
      <c r="BE93" s="16"/>
      <c r="BF93"/>
      <c r="BG93"/>
      <c r="BH93"/>
    </row>
    <row r="94" spans="1:60" s="7" customFormat="1" outlineLevel="1" x14ac:dyDescent="0.3">
      <c r="A94" s="51">
        <v>93</v>
      </c>
      <c r="B94" s="27" t="s">
        <v>151</v>
      </c>
      <c r="C94" s="28" t="s">
        <v>71</v>
      </c>
      <c r="D94" s="28"/>
      <c r="E94" s="28"/>
      <c r="F94" s="28">
        <v>1</v>
      </c>
      <c r="G94" s="20">
        <v>1.5629999999999999</v>
      </c>
      <c r="H94" s="19">
        <f>($G$94*5/Misc!$L$13)-0.08</f>
        <v>1.4829999999999999</v>
      </c>
      <c r="I94" s="19">
        <f>($G$94*5/Misc!$L$12)+0.08</f>
        <v>1.643</v>
      </c>
      <c r="J94" s="20">
        <v>1.5629999999999999</v>
      </c>
      <c r="K94" s="19">
        <f>($J$94*5/Misc!$L$13)-0.08</f>
        <v>1.4829999999999999</v>
      </c>
      <c r="L94" s="19">
        <f>($J$94*5/Misc!$L$13)+0.08</f>
        <v>1.643</v>
      </c>
      <c r="M94" s="20">
        <v>1.5629999999999999</v>
      </c>
      <c r="N94" s="19">
        <f>($M$94*5/Misc!$L$14)-0.08</f>
        <v>1.4829999999999999</v>
      </c>
      <c r="O94" s="19">
        <f>($M$94*5/Misc!$L$14)+0.08</f>
        <v>1.643</v>
      </c>
      <c r="P94" s="20">
        <v>1.5629999999999999</v>
      </c>
      <c r="Q94" s="19">
        <f>($P$94*5/Misc!$L$15)-0.08</f>
        <v>1.4829999999999999</v>
      </c>
      <c r="R94" s="19">
        <f>($P$94*5/Misc!$L$15)+0.08</f>
        <v>1.643</v>
      </c>
      <c r="S94" s="20">
        <v>1.5629999999999999</v>
      </c>
      <c r="T94" s="19">
        <f>($S$94*5/Misc!$L$16)-0.08</f>
        <v>1.4829999999999999</v>
      </c>
      <c r="U94" s="19">
        <f>($S$94*5/Misc!$L$16)+0.08</f>
        <v>1.643</v>
      </c>
      <c r="V94" s="20">
        <v>1.5629999999999999</v>
      </c>
      <c r="W94" s="19">
        <f>($V$94*5/Misc!$L$17)-0.08</f>
        <v>1.4829999999999999</v>
      </c>
      <c r="X94" s="19">
        <f>($V$94*5/Misc!$L$17)+0.08</f>
        <v>1.643</v>
      </c>
      <c r="Y94" s="20">
        <v>1.5629999999999999</v>
      </c>
      <c r="Z94" s="19">
        <f>($Y$94*5/Misc!$L$18)-0.08</f>
        <v>1.4829999999999999</v>
      </c>
      <c r="AA94" s="19">
        <f>($Y$94*5/Misc!$L$18)+0.08</f>
        <v>1.643</v>
      </c>
      <c r="AB94" s="20">
        <v>1.5629999999999999</v>
      </c>
      <c r="AC94" s="19">
        <f>($AB$94*5/Misc!$L$19)-0.08</f>
        <v>1.4829999999999999</v>
      </c>
      <c r="AD94" s="19">
        <f>($AB$94*5/Misc!$L$19)+0.08</f>
        <v>1.643</v>
      </c>
      <c r="AE94" s="20">
        <v>1.53</v>
      </c>
      <c r="AF94" s="19">
        <f>($AE$94*5/Misc!$L$20)-0.08</f>
        <v>1.45</v>
      </c>
      <c r="AG94" s="19">
        <f>($AE$94*5/Misc!$L$20)+0.08</f>
        <v>1.61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6"/>
      <c r="BD94" s="22"/>
      <c r="BE94" s="16"/>
      <c r="BF94"/>
      <c r="BG94"/>
      <c r="BH94"/>
    </row>
    <row r="95" spans="1:60" s="1" customFormat="1" outlineLevel="1" x14ac:dyDescent="0.3">
      <c r="A95" s="16">
        <v>94</v>
      </c>
      <c r="B95" s="25" t="s">
        <v>152</v>
      </c>
      <c r="C95" s="26"/>
      <c r="D95" s="26"/>
      <c r="E95" s="26"/>
      <c r="F95" s="26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6"/>
      <c r="BD95" s="22"/>
      <c r="BE95" s="16"/>
      <c r="BF95"/>
      <c r="BG95"/>
      <c r="BH95"/>
    </row>
    <row r="96" spans="1:60" s="3" customFormat="1" x14ac:dyDescent="0.3">
      <c r="A96" s="16">
        <v>95</v>
      </c>
      <c r="B96" s="23" t="s">
        <v>153</v>
      </c>
      <c r="C96" s="24" t="s">
        <v>58</v>
      </c>
      <c r="D96" s="24"/>
      <c r="E96" s="24"/>
      <c r="F96" s="24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0">
        <v>160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6"/>
      <c r="BD96" s="22"/>
      <c r="BE96" s="16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1</v>
      </c>
      <c r="AI97" s="19"/>
      <c r="AJ97" s="19"/>
      <c r="AK97" s="20">
        <v>1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6"/>
      <c r="BD97" s="22"/>
      <c r="BE97" s="16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0">
        <v>0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6"/>
      <c r="BD98" s="22"/>
      <c r="BE98" s="16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1</v>
      </c>
      <c r="AI99" s="19"/>
      <c r="AJ99" s="19"/>
      <c r="AK99" s="20">
        <v>1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6"/>
      <c r="BD99" s="22"/>
      <c r="BE99" s="16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0">
        <v>0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6"/>
      <c r="BD100" s="22"/>
      <c r="BE100" s="16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1</v>
      </c>
      <c r="AI101" s="19"/>
      <c r="AJ101" s="19"/>
      <c r="AK101" s="20">
        <v>1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6"/>
      <c r="BD101" s="22"/>
      <c r="BE101" s="16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0">
        <v>0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6"/>
      <c r="BD102" s="22"/>
      <c r="BE102" s="16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1</v>
      </c>
      <c r="AI103" s="19"/>
      <c r="AJ103" s="19"/>
      <c r="AK103" s="20">
        <v>1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6"/>
      <c r="BD103" s="22"/>
      <c r="BE103" s="16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0">
        <v>0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6"/>
      <c r="BD104" s="22"/>
      <c r="BE104" s="16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1</v>
      </c>
      <c r="AI105" s="19"/>
      <c r="AJ105" s="19"/>
      <c r="AK105" s="20">
        <v>1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6"/>
      <c r="BD105" s="22"/>
      <c r="BE105" s="16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0">
        <v>0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6"/>
      <c r="BD106" s="22"/>
      <c r="BE106" s="16"/>
    </row>
    <row r="107" spans="1:60" s="3" customFormat="1" x14ac:dyDescent="0.3">
      <c r="A107" s="16">
        <v>106</v>
      </c>
      <c r="B107" s="23" t="s">
        <v>164</v>
      </c>
      <c r="C107" s="24" t="s">
        <v>58</v>
      </c>
      <c r="D107" s="24"/>
      <c r="E107" s="24"/>
      <c r="F107" s="24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9">
        <v>160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6"/>
      <c r="BD107" s="22"/>
      <c r="BE107" s="16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6">
        <f>$AK$108-8</f>
        <v>90.2</v>
      </c>
      <c r="AM108" s="56">
        <f>$AK$108+8</f>
        <v>106.2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6"/>
      <c r="BD108" s="22"/>
      <c r="BE108" s="16"/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6">
        <f>$AK$109-8</f>
        <v>93</v>
      </c>
      <c r="AM109" s="56">
        <f>$AK$109+8</f>
        <v>109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6"/>
      <c r="BD109" s="22"/>
      <c r="BE109" s="16"/>
    </row>
    <row r="110" spans="1:60" outlineLevel="1" x14ac:dyDescent="0.3">
      <c r="A110" s="51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500</v>
      </c>
      <c r="H110" s="19">
        <f>$G$110-8</f>
        <v>492</v>
      </c>
      <c r="I110" s="19">
        <f>$G$110+8</f>
        <v>508</v>
      </c>
      <c r="J110" s="20">
        <v>500</v>
      </c>
      <c r="K110" s="19">
        <f>$J$110-8</f>
        <v>492</v>
      </c>
      <c r="L110" s="19">
        <f>$J$110+8</f>
        <v>508</v>
      </c>
      <c r="M110" s="20">
        <v>500</v>
      </c>
      <c r="N110" s="19">
        <f>$M$110-8</f>
        <v>492</v>
      </c>
      <c r="O110" s="19">
        <f>$M$110+8</f>
        <v>508</v>
      </c>
      <c r="P110" s="20">
        <v>500</v>
      </c>
      <c r="Q110" s="19">
        <f>$P$110-8</f>
        <v>492</v>
      </c>
      <c r="R110" s="19">
        <f>$P$110+8</f>
        <v>508</v>
      </c>
      <c r="S110" s="20">
        <v>500</v>
      </c>
      <c r="T110" s="19">
        <f>$S$110-8</f>
        <v>492</v>
      </c>
      <c r="U110" s="19">
        <f>$S$110+8</f>
        <v>508</v>
      </c>
      <c r="V110" s="20">
        <v>500</v>
      </c>
      <c r="W110" s="19">
        <f>$V$110-8</f>
        <v>492</v>
      </c>
      <c r="X110" s="19">
        <f>$V$110+8</f>
        <v>508</v>
      </c>
      <c r="Y110" s="20">
        <v>500</v>
      </c>
      <c r="Z110" s="19">
        <f>$Y$110-8</f>
        <v>492</v>
      </c>
      <c r="AA110" s="19">
        <f>$Y$110+8</f>
        <v>508</v>
      </c>
      <c r="AB110" s="20">
        <v>493</v>
      </c>
      <c r="AC110" s="19">
        <f>$AB$110-8</f>
        <v>485</v>
      </c>
      <c r="AD110" s="19">
        <f>$AB$110+8</f>
        <v>501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6">
        <f>$AK$110-8</f>
        <v>31.799999999999997</v>
      </c>
      <c r="AM110" s="56">
        <f>$AK$110+8</f>
        <v>47.8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6"/>
      <c r="BD110" s="22"/>
      <c r="BE110" s="16"/>
    </row>
    <row r="111" spans="1:60" outlineLevel="1" x14ac:dyDescent="0.3">
      <c r="A111" s="51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500</v>
      </c>
      <c r="H111" s="19">
        <f>$G$111-8</f>
        <v>492</v>
      </c>
      <c r="I111" s="19">
        <f>$G$111+8</f>
        <v>508</v>
      </c>
      <c r="J111" s="20">
        <v>500</v>
      </c>
      <c r="K111" s="19">
        <f>$J$111-8</f>
        <v>492</v>
      </c>
      <c r="L111" s="19">
        <f>$J$111+8</f>
        <v>508</v>
      </c>
      <c r="M111" s="20">
        <v>500</v>
      </c>
      <c r="N111" s="19">
        <f>$M$111-8</f>
        <v>492</v>
      </c>
      <c r="O111" s="19">
        <f>$M$111+8</f>
        <v>508</v>
      </c>
      <c r="P111" s="20">
        <v>500</v>
      </c>
      <c r="Q111" s="19">
        <f>$P$111-8</f>
        <v>492</v>
      </c>
      <c r="R111" s="19">
        <f>$P$111+8</f>
        <v>508</v>
      </c>
      <c r="S111" s="20">
        <v>500</v>
      </c>
      <c r="T111" s="19">
        <f>$S$111-8</f>
        <v>492</v>
      </c>
      <c r="U111" s="19">
        <f>$S$111+8</f>
        <v>508</v>
      </c>
      <c r="V111" s="20">
        <v>500</v>
      </c>
      <c r="W111" s="19">
        <f>$V$111-8</f>
        <v>492</v>
      </c>
      <c r="X111" s="19">
        <f>$V$111+8</f>
        <v>508</v>
      </c>
      <c r="Y111" s="20">
        <v>500</v>
      </c>
      <c r="Z111" s="19">
        <f>$Y$111-8</f>
        <v>492</v>
      </c>
      <c r="AA111" s="19">
        <f>$Y$111+8</f>
        <v>508</v>
      </c>
      <c r="AB111" s="20">
        <v>495</v>
      </c>
      <c r="AC111" s="19">
        <f>$AB$111-8</f>
        <v>487</v>
      </c>
      <c r="AD111" s="19">
        <f>$AB$111+8</f>
        <v>503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6">
        <f>$AK$111-8</f>
        <v>34.700000000000003</v>
      </c>
      <c r="AM111" s="56">
        <f>$AK$111+8</f>
        <v>50.7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6"/>
      <c r="BD111" s="22"/>
      <c r="BE111" s="16"/>
    </row>
    <row r="112" spans="1:60" s="1" customFormat="1" outlineLevel="1" x14ac:dyDescent="0.3">
      <c r="A112" s="16">
        <v>111</v>
      </c>
      <c r="B112" s="25" t="s">
        <v>169</v>
      </c>
      <c r="C112" s="26" t="s">
        <v>58</v>
      </c>
      <c r="D112" s="26"/>
      <c r="E112" s="26"/>
      <c r="F112" s="26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6"/>
      <c r="BD112" s="22"/>
      <c r="BE112" s="16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6"/>
      <c r="BD113" s="22"/>
      <c r="BE113" s="16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6"/>
      <c r="BD114" s="22"/>
      <c r="BE114" s="16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6"/>
      <c r="BD115" s="22"/>
      <c r="BE115" s="16"/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6"/>
      <c r="BD116" s="22"/>
      <c r="BE116" s="16"/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6"/>
      <c r="BD117" s="22"/>
      <c r="BE117" s="16"/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6"/>
      <c r="BD118" s="22"/>
      <c r="BE118" s="16"/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6"/>
      <c r="BD119" s="22"/>
      <c r="BE119" s="16"/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6"/>
      <c r="BD120" s="22"/>
      <c r="BE120" s="16"/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6"/>
      <c r="BD121" s="22"/>
      <c r="BE121" s="16"/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6"/>
      <c r="BD122" s="22"/>
      <c r="BE122" s="16"/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6"/>
      <c r="BD123" s="22"/>
      <c r="BE123" s="16"/>
    </row>
    <row r="124" spans="1:60" s="3" customFormat="1" collapsed="1" x14ac:dyDescent="0.3">
      <c r="A124" s="16">
        <v>123</v>
      </c>
      <c r="B124" s="23" t="s">
        <v>180</v>
      </c>
      <c r="C124" s="24" t="s">
        <v>58</v>
      </c>
      <c r="D124" s="24"/>
      <c r="E124" s="24"/>
      <c r="F124" s="24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6"/>
      <c r="BD124" s="22"/>
      <c r="BE124" s="16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6"/>
      <c r="BD125" s="22"/>
      <c r="BE125" s="16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6"/>
      <c r="BD126" s="22"/>
      <c r="BE126" s="16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6"/>
      <c r="BD127" s="22"/>
      <c r="BE127" s="16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6"/>
      <c r="BD128" s="22"/>
      <c r="BE128" s="16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6"/>
      <c r="BD129" s="22"/>
      <c r="BE129" s="16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6"/>
      <c r="BD130" s="22"/>
      <c r="BE130" s="16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6"/>
      <c r="BD131" s="22"/>
      <c r="BE131" s="16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6"/>
      <c r="BD132" s="22"/>
      <c r="BE132" s="16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6"/>
      <c r="BD133" s="22"/>
      <c r="BE133" s="16"/>
    </row>
    <row r="134" spans="1:59" s="3" customFormat="1" collapsed="1" x14ac:dyDescent="0.3">
      <c r="A134" s="16">
        <v>133</v>
      </c>
      <c r="B134" s="23" t="s">
        <v>190</v>
      </c>
      <c r="C134" s="24" t="s">
        <v>58</v>
      </c>
      <c r="D134" s="24"/>
      <c r="E134" s="24"/>
      <c r="F134" s="24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6"/>
      <c r="BD134" s="22"/>
      <c r="BE134" s="16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6"/>
      <c r="BD135" s="22"/>
      <c r="BE135" s="16"/>
    </row>
    <row r="136" spans="1:59" x14ac:dyDescent="0.3">
      <c r="A136" s="16">
        <v>135</v>
      </c>
      <c r="B136" s="23" t="s">
        <v>192</v>
      </c>
      <c r="C136" s="24" t="s">
        <v>58</v>
      </c>
      <c r="D136" s="24"/>
      <c r="E136" s="24"/>
      <c r="F136" s="24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6"/>
      <c r="BD136" s="22"/>
      <c r="BE136" s="16"/>
    </row>
    <row r="137" spans="1:59" x14ac:dyDescent="0.3">
      <c r="A137" s="16">
        <v>136</v>
      </c>
      <c r="B137" s="23" t="s">
        <v>193</v>
      </c>
      <c r="C137" s="24" t="s">
        <v>58</v>
      </c>
      <c r="D137" s="24"/>
      <c r="E137" s="24"/>
      <c r="F137" s="24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6"/>
      <c r="BD137" s="22"/>
      <c r="BE137" s="16"/>
    </row>
    <row r="138" spans="1:59" hidden="1" outlineLevel="1" x14ac:dyDescent="0.3">
      <c r="A138" s="16">
        <v>137</v>
      </c>
      <c r="B138" s="30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6"/>
      <c r="BD138" s="22"/>
      <c r="BE138" s="16"/>
    </row>
    <row r="139" spans="1:59" hidden="1" outlineLevel="1" x14ac:dyDescent="0.3">
      <c r="A139" s="16">
        <v>138</v>
      </c>
      <c r="B139" s="30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6"/>
      <c r="BD139" s="22"/>
      <c r="BE139" s="16"/>
    </row>
    <row r="140" spans="1:59" hidden="1" outlineLevel="1" x14ac:dyDescent="0.3">
      <c r="A140" s="16">
        <v>139</v>
      </c>
      <c r="B140" s="30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6"/>
      <c r="BD140" s="22"/>
      <c r="BE140" s="16"/>
    </row>
    <row r="141" spans="1:59" hidden="1" outlineLevel="1" x14ac:dyDescent="0.3">
      <c r="A141" s="16">
        <v>140</v>
      </c>
      <c r="B141" s="30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6"/>
      <c r="BD141" s="22"/>
      <c r="BE141" s="16"/>
    </row>
    <row r="142" spans="1:59" hidden="1" outlineLevel="1" x14ac:dyDescent="0.3">
      <c r="A142" s="16">
        <v>141</v>
      </c>
      <c r="B142" s="30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6"/>
      <c r="BD142" s="16"/>
      <c r="BE142" s="16"/>
    </row>
    <row r="143" spans="1:59" hidden="1" outlineLevel="1" x14ac:dyDescent="0.3">
      <c r="A143" s="16">
        <v>142</v>
      </c>
      <c r="B143" s="30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</row>
    <row r="144" spans="1:59" hidden="1" outlineLevel="1" x14ac:dyDescent="0.3">
      <c r="A144" s="16">
        <v>143</v>
      </c>
      <c r="B144" s="30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</row>
    <row r="145" spans="1:57" hidden="1" outlineLevel="1" x14ac:dyDescent="0.3">
      <c r="A145" s="16">
        <v>144</v>
      </c>
      <c r="B145" s="30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</row>
    <row r="146" spans="1:57" collapsed="1" x14ac:dyDescent="0.3">
      <c r="A146" s="16">
        <v>145</v>
      </c>
      <c r="B146" s="23" t="s">
        <v>202</v>
      </c>
      <c r="C146" s="24" t="s">
        <v>58</v>
      </c>
      <c r="D146" s="24"/>
      <c r="E146" s="24"/>
      <c r="F146" s="24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</row>
    <row r="153" spans="1:57" collapsed="1" x14ac:dyDescent="0.3">
      <c r="A153" s="16">
        <v>152</v>
      </c>
      <c r="B153" s="23" t="s">
        <v>209</v>
      </c>
      <c r="C153" s="24" t="s">
        <v>58</v>
      </c>
      <c r="D153" s="24"/>
      <c r="E153" s="24"/>
      <c r="F153" s="24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</row>
    <row r="160" spans="1:57" collapsed="1" x14ac:dyDescent="0.3">
      <c r="A160" s="16">
        <v>159</v>
      </c>
      <c r="B160" s="23" t="s">
        <v>216</v>
      </c>
      <c r="C160" s="24" t="s">
        <v>58</v>
      </c>
      <c r="D160" s="24"/>
      <c r="E160" s="24"/>
      <c r="F160" s="24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</row>
    <row r="167" spans="1:57" collapsed="1" x14ac:dyDescent="0.3">
      <c r="A167" s="16">
        <v>166</v>
      </c>
      <c r="B167" s="23" t="s">
        <v>223</v>
      </c>
      <c r="C167" s="24" t="s">
        <v>58</v>
      </c>
      <c r="D167" s="24"/>
      <c r="E167" s="24"/>
      <c r="F167" s="24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</row>
    <row r="176" spans="1:57" collapsed="1" x14ac:dyDescent="0.3">
      <c r="A176" s="16">
        <v>175</v>
      </c>
      <c r="B176" s="23" t="s">
        <v>232</v>
      </c>
      <c r="C176" s="24" t="s">
        <v>58</v>
      </c>
      <c r="D176" s="24"/>
      <c r="E176" s="24"/>
      <c r="F176" s="24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</row>
    <row r="177" spans="1:57" hidden="1" outlineLevel="1" x14ac:dyDescent="0.3">
      <c r="A177" s="16">
        <v>176</v>
      </c>
      <c r="B177" s="30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</row>
    <row r="178" spans="1:57" hidden="1" outlineLevel="1" x14ac:dyDescent="0.3">
      <c r="A178" s="16">
        <v>177</v>
      </c>
      <c r="B178" s="30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</row>
    <row r="179" spans="1:57" hidden="1" outlineLevel="1" x14ac:dyDescent="0.3">
      <c r="A179" s="16">
        <v>178</v>
      </c>
      <c r="B179" s="30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</row>
    <row r="180" spans="1:57" hidden="1" outlineLevel="1" x14ac:dyDescent="0.3">
      <c r="A180" s="16">
        <v>179</v>
      </c>
      <c r="B180" s="30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</row>
    <row r="181" spans="1:57" hidden="1" outlineLevel="1" x14ac:dyDescent="0.3">
      <c r="A181" s="16">
        <v>180</v>
      </c>
      <c r="B181" s="30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</row>
    <row r="182" spans="1:57" hidden="1" outlineLevel="1" x14ac:dyDescent="0.3">
      <c r="A182" s="16">
        <v>181</v>
      </c>
      <c r="B182" s="30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</row>
    <row r="183" spans="1:57" hidden="1" outlineLevel="1" x14ac:dyDescent="0.3">
      <c r="A183" s="16">
        <v>182</v>
      </c>
      <c r="B183" s="30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</row>
    <row r="184" spans="1:57" hidden="1" outlineLevel="1" x14ac:dyDescent="0.3">
      <c r="A184" s="16">
        <v>183</v>
      </c>
      <c r="B184" s="30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</row>
    <row r="185" spans="1:57" collapsed="1" x14ac:dyDescent="0.3">
      <c r="A185" s="16">
        <v>184</v>
      </c>
      <c r="B185" s="23" t="s">
        <v>241</v>
      </c>
      <c r="C185" s="24" t="s">
        <v>58</v>
      </c>
      <c r="D185" s="24"/>
      <c r="E185" s="24"/>
      <c r="F185" s="24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</row>
    <row r="186" spans="1:57" hidden="1" outlineLevel="1" x14ac:dyDescent="0.3">
      <c r="A186" s="16">
        <v>185</v>
      </c>
      <c r="B186" s="30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</row>
    <row r="187" spans="1:57" hidden="1" outlineLevel="1" x14ac:dyDescent="0.3">
      <c r="A187" s="16">
        <v>186</v>
      </c>
      <c r="B187" s="30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</row>
    <row r="188" spans="1:57" hidden="1" outlineLevel="1" x14ac:dyDescent="0.3">
      <c r="A188" s="16">
        <v>187</v>
      </c>
      <c r="B188" s="30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</row>
    <row r="189" spans="1:57" hidden="1" outlineLevel="1" x14ac:dyDescent="0.3">
      <c r="A189" s="16">
        <v>188</v>
      </c>
      <c r="B189" s="30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</row>
    <row r="190" spans="1:57" hidden="1" outlineLevel="1" x14ac:dyDescent="0.3">
      <c r="A190" s="16">
        <v>189</v>
      </c>
      <c r="B190" s="30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</row>
    <row r="191" spans="1:57" hidden="1" outlineLevel="1" x14ac:dyDescent="0.3">
      <c r="A191" s="16">
        <v>190</v>
      </c>
      <c r="B191" s="30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</row>
    <row r="192" spans="1:57" hidden="1" outlineLevel="1" x14ac:dyDescent="0.3">
      <c r="A192" s="16">
        <v>191</v>
      </c>
      <c r="B192" s="30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</row>
    <row r="193" spans="1:57" hidden="1" outlineLevel="1" x14ac:dyDescent="0.3">
      <c r="A193" s="16">
        <v>192</v>
      </c>
      <c r="B193" s="30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</row>
    <row r="194" spans="1:57" collapsed="1" x14ac:dyDescent="0.3">
      <c r="A194" s="16">
        <v>193</v>
      </c>
      <c r="B194" s="23" t="s">
        <v>250</v>
      </c>
      <c r="C194" s="24" t="s">
        <v>58</v>
      </c>
      <c r="D194" s="24"/>
      <c r="E194" s="24"/>
      <c r="F194" s="24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</row>
    <row r="195" spans="1:57" hidden="1" outlineLevel="1" x14ac:dyDescent="0.3">
      <c r="A195" s="16">
        <v>194</v>
      </c>
      <c r="B195" s="30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</row>
    <row r="196" spans="1:57" hidden="1" outlineLevel="1" x14ac:dyDescent="0.3">
      <c r="A196" s="16">
        <v>195</v>
      </c>
      <c r="B196" s="30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</row>
    <row r="197" spans="1:57" hidden="1" outlineLevel="1" x14ac:dyDescent="0.3">
      <c r="A197" s="16">
        <v>196</v>
      </c>
      <c r="B197" s="30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</row>
    <row r="198" spans="1:57" hidden="1" outlineLevel="1" x14ac:dyDescent="0.3">
      <c r="A198" s="16">
        <v>197</v>
      </c>
      <c r="B198" s="30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</row>
    <row r="199" spans="1:57" hidden="1" outlineLevel="1" x14ac:dyDescent="0.3">
      <c r="A199" s="16">
        <v>198</v>
      </c>
      <c r="B199" s="30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</row>
    <row r="200" spans="1:57" hidden="1" outlineLevel="1" x14ac:dyDescent="0.3">
      <c r="A200" s="16">
        <v>199</v>
      </c>
      <c r="B200" s="30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</row>
    <row r="201" spans="1:57" hidden="1" outlineLevel="1" x14ac:dyDescent="0.3">
      <c r="A201" s="16">
        <v>200</v>
      </c>
      <c r="B201" s="30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</row>
    <row r="202" spans="1:57" hidden="1" outlineLevel="1" x14ac:dyDescent="0.3">
      <c r="A202" s="16">
        <v>201</v>
      </c>
      <c r="B202" s="30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</row>
    <row r="203" spans="1:57" collapsed="1" x14ac:dyDescent="0.3">
      <c r="A203" s="16">
        <v>202</v>
      </c>
      <c r="B203" s="23" t="s">
        <v>259</v>
      </c>
      <c r="C203" s="24" t="s">
        <v>58</v>
      </c>
      <c r="D203" s="24"/>
      <c r="E203" s="24"/>
      <c r="F203" s="24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</row>
    <row r="204" spans="1:57" hidden="1" outlineLevel="1" x14ac:dyDescent="0.3">
      <c r="A204" s="16">
        <v>203</v>
      </c>
      <c r="B204" s="30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</row>
    <row r="205" spans="1:57" hidden="1" outlineLevel="1" x14ac:dyDescent="0.3">
      <c r="A205" s="16">
        <v>204</v>
      </c>
      <c r="B205" s="30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</row>
    <row r="206" spans="1:57" hidden="1" outlineLevel="1" x14ac:dyDescent="0.3">
      <c r="A206" s="16">
        <v>205</v>
      </c>
      <c r="B206" s="30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</row>
    <row r="207" spans="1:57" hidden="1" outlineLevel="1" x14ac:dyDescent="0.3">
      <c r="A207" s="16">
        <v>206</v>
      </c>
      <c r="B207" s="30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</row>
    <row r="208" spans="1:57" hidden="1" outlineLevel="1" x14ac:dyDescent="0.3">
      <c r="A208" s="16">
        <v>207</v>
      </c>
      <c r="B208" s="30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</row>
    <row r="209" spans="1:57" hidden="1" outlineLevel="1" x14ac:dyDescent="0.3">
      <c r="A209" s="16">
        <v>208</v>
      </c>
      <c r="B209" s="30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</row>
    <row r="210" spans="1:57" hidden="1" outlineLevel="1" x14ac:dyDescent="0.3">
      <c r="A210" s="16">
        <v>209</v>
      </c>
      <c r="B210" s="30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</row>
    <row r="211" spans="1:57" hidden="1" outlineLevel="1" x14ac:dyDescent="0.3">
      <c r="A211" s="16">
        <v>210</v>
      </c>
      <c r="B211" s="30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</row>
    <row r="212" spans="1:57" collapsed="1" x14ac:dyDescent="0.3">
      <c r="A212" s="16">
        <v>211</v>
      </c>
      <c r="B212" s="23" t="s">
        <v>268</v>
      </c>
      <c r="C212" s="24" t="s">
        <v>58</v>
      </c>
      <c r="D212" s="24"/>
      <c r="E212" s="24"/>
      <c r="F212" s="24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</row>
    <row r="213" spans="1:57" hidden="1" outlineLevel="1" x14ac:dyDescent="0.3">
      <c r="A213" s="16">
        <v>212</v>
      </c>
      <c r="B213" s="30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</row>
    <row r="214" spans="1:57" hidden="1" outlineLevel="1" x14ac:dyDescent="0.3">
      <c r="A214" s="16">
        <v>213</v>
      </c>
      <c r="B214" s="30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</row>
    <row r="215" spans="1:57" hidden="1" outlineLevel="1" x14ac:dyDescent="0.3">
      <c r="A215" s="16">
        <v>214</v>
      </c>
      <c r="B215" s="30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</row>
    <row r="216" spans="1:57" hidden="1" outlineLevel="1" x14ac:dyDescent="0.3">
      <c r="A216" s="16">
        <v>215</v>
      </c>
      <c r="B216" s="30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</row>
    <row r="217" spans="1:57" collapsed="1" x14ac:dyDescent="0.3">
      <c r="A217" s="16">
        <v>216</v>
      </c>
      <c r="B217" s="23" t="s">
        <v>273</v>
      </c>
      <c r="C217" s="24" t="s">
        <v>58</v>
      </c>
      <c r="D217" s="24"/>
      <c r="E217" s="24"/>
      <c r="F217" s="24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</row>
    <row r="218" spans="1:57" hidden="1" outlineLevel="1" x14ac:dyDescent="0.3">
      <c r="A218" s="16">
        <v>217</v>
      </c>
      <c r="B218" s="30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</row>
    <row r="219" spans="1:57" hidden="1" outlineLevel="1" x14ac:dyDescent="0.3">
      <c r="A219" s="16">
        <v>218</v>
      </c>
      <c r="B219" s="30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</row>
    <row r="220" spans="1:57" hidden="1" outlineLevel="1" x14ac:dyDescent="0.3">
      <c r="A220" s="16">
        <v>219</v>
      </c>
      <c r="B220" s="30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</row>
    <row r="221" spans="1:57" collapsed="1" x14ac:dyDescent="0.3">
      <c r="A221" s="16">
        <v>220</v>
      </c>
      <c r="B221" s="23" t="s">
        <v>277</v>
      </c>
      <c r="C221" s="24" t="s">
        <v>71</v>
      </c>
      <c r="D221" s="24"/>
      <c r="E221" s="24"/>
      <c r="F221" s="24">
        <v>1</v>
      </c>
      <c r="G221" s="20">
        <v>0</v>
      </c>
      <c r="H221" s="19">
        <f>$G$221-3</f>
        <v>-3</v>
      </c>
      <c r="I221" s="19">
        <f>$G$221+3</f>
        <v>3</v>
      </c>
      <c r="J221" s="20">
        <v>18</v>
      </c>
      <c r="K221" s="19">
        <f>$J$221-3</f>
        <v>15</v>
      </c>
      <c r="L221" s="19">
        <f>$J$221+3</f>
        <v>21</v>
      </c>
      <c r="M221" s="20">
        <v>25</v>
      </c>
      <c r="N221" s="19">
        <f>$M$221-3</f>
        <v>22</v>
      </c>
      <c r="O221" s="19">
        <f>$M$221+3</f>
        <v>28</v>
      </c>
      <c r="P221" s="20">
        <v>75</v>
      </c>
      <c r="Q221" s="19">
        <f>$P$221-3</f>
        <v>72</v>
      </c>
      <c r="R221" s="19">
        <f>$P$221+3</f>
        <v>78</v>
      </c>
      <c r="S221" s="20">
        <v>95</v>
      </c>
      <c r="T221" s="19">
        <f>$S$221-3</f>
        <v>92</v>
      </c>
      <c r="U221" s="19">
        <f>$S$221+3</f>
        <v>98</v>
      </c>
      <c r="V221" s="20">
        <v>32.5</v>
      </c>
      <c r="W221" s="19">
        <f>$V$221-3</f>
        <v>29.5</v>
      </c>
      <c r="X221" s="19">
        <f>$V$221+3</f>
        <v>35.5</v>
      </c>
      <c r="Y221" s="20">
        <v>47.5</v>
      </c>
      <c r="Z221" s="19">
        <f>$Y$221-3</f>
        <v>44.5</v>
      </c>
      <c r="AA221" s="19">
        <f>$Y$221+3</f>
        <v>50.5</v>
      </c>
      <c r="AB221" s="20">
        <v>120</v>
      </c>
      <c r="AC221" s="19">
        <f>Misc!F19-3</f>
        <v>117</v>
      </c>
      <c r="AD221" s="19">
        <f>Misc!F19+3</f>
        <v>123</v>
      </c>
      <c r="AE221" s="20">
        <v>80</v>
      </c>
      <c r="AF221" s="19">
        <f>Misc!F20-3</f>
        <v>77</v>
      </c>
      <c r="AG221" s="19">
        <f>Misc!F20+3</f>
        <v>83</v>
      </c>
      <c r="AH221" s="20">
        <v>120</v>
      </c>
      <c r="AI221" s="19">
        <f>$AH$221-3</f>
        <v>117</v>
      </c>
      <c r="AJ221" s="19">
        <f>$AH$221+3</f>
        <v>123</v>
      </c>
      <c r="AK221" s="20">
        <v>133</v>
      </c>
      <c r="AL221" s="19">
        <f>$AK$221-3</f>
        <v>130</v>
      </c>
      <c r="AM221" s="19">
        <f>$AK$221+3</f>
        <v>136</v>
      </c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</row>
    <row r="222" spans="1:57" x14ac:dyDescent="0.3">
      <c r="A222" s="16">
        <v>221</v>
      </c>
      <c r="B222" s="30" t="s">
        <v>278</v>
      </c>
      <c r="C222" s="19" t="s">
        <v>71</v>
      </c>
      <c r="D222" s="19"/>
      <c r="E222" s="19"/>
      <c r="F222" s="19">
        <v>1</v>
      </c>
      <c r="G222" s="20">
        <v>0</v>
      </c>
      <c r="H222" s="19">
        <f>$G$222-3</f>
        <v>-3</v>
      </c>
      <c r="I222" s="19">
        <f>$G$222+3</f>
        <v>3</v>
      </c>
      <c r="J222" s="20">
        <v>45</v>
      </c>
      <c r="K222" s="19">
        <f>$J$222-3</f>
        <v>42</v>
      </c>
      <c r="L222" s="19">
        <f>$J$222+3</f>
        <v>48</v>
      </c>
      <c r="M222" s="20">
        <v>65</v>
      </c>
      <c r="N222" s="19">
        <f>$M$222-3</f>
        <v>62</v>
      </c>
      <c r="O222" s="19">
        <f>$M$222+3</f>
        <v>68</v>
      </c>
      <c r="P222" s="20">
        <v>95</v>
      </c>
      <c r="Q222" s="19">
        <f>$P$222-3</f>
        <v>92</v>
      </c>
      <c r="R222" s="19">
        <f>$P$222+3</f>
        <v>98</v>
      </c>
      <c r="S222" s="20">
        <v>115</v>
      </c>
      <c r="T222" s="19">
        <f>$S$222-3</f>
        <v>112</v>
      </c>
      <c r="U222" s="19">
        <f>$S$222+3</f>
        <v>118</v>
      </c>
      <c r="V222" s="20">
        <v>65</v>
      </c>
      <c r="W222" s="19">
        <f>$V$222-3</f>
        <v>62</v>
      </c>
      <c r="X222" s="19">
        <f>$V$222+3</f>
        <v>68</v>
      </c>
      <c r="Y222" s="20">
        <v>95</v>
      </c>
      <c r="Z222" s="19">
        <f>$Y$222-3</f>
        <v>92</v>
      </c>
      <c r="AA222" s="19">
        <f>$Y$222+3</f>
        <v>98</v>
      </c>
      <c r="AB222" s="20">
        <v>133</v>
      </c>
      <c r="AC222" s="19">
        <f>Misc!G19-3</f>
        <v>130</v>
      </c>
      <c r="AD222" s="19">
        <f>Misc!G19+3</f>
        <v>136</v>
      </c>
      <c r="AE222" s="20">
        <v>80</v>
      </c>
      <c r="AF222" s="19">
        <f>Misc!G20-3</f>
        <v>77</v>
      </c>
      <c r="AG222" s="19">
        <f>Misc!G20+3</f>
        <v>83</v>
      </c>
      <c r="AH222" s="20">
        <v>120</v>
      </c>
      <c r="AI222" s="19">
        <f>$AH$222-3</f>
        <v>117</v>
      </c>
      <c r="AJ222" s="19">
        <f>$AH$222+3</f>
        <v>123</v>
      </c>
      <c r="AK222" s="20">
        <v>133</v>
      </c>
      <c r="AL222" s="19">
        <f>$AK$222-3</f>
        <v>130</v>
      </c>
      <c r="AM222" s="19">
        <f>$AK$222+3</f>
        <v>136</v>
      </c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</row>
    <row r="223" spans="1:57" x14ac:dyDescent="0.3">
      <c r="A223" s="16">
        <v>222</v>
      </c>
      <c r="B223" s="23" t="s">
        <v>328</v>
      </c>
      <c r="C223" s="24" t="s">
        <v>71</v>
      </c>
      <c r="D223" s="24"/>
      <c r="E223" s="24"/>
      <c r="F223" s="24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-68.63961030678928</v>
      </c>
      <c r="L223" s="19">
        <f>-(SQRT(2)*Misc!$G$13)+5</f>
        <v>-58.63961030678928</v>
      </c>
      <c r="M223" s="20"/>
      <c r="N223" s="19">
        <f>-(SQRT(2)*Misc!$G$14)-5</f>
        <v>-96.923881554251182</v>
      </c>
      <c r="O223" s="19">
        <f>-(SQRT(2)*Misc!$G$14)+5</f>
        <v>-86.923881554251182</v>
      </c>
      <c r="P223" s="20"/>
      <c r="Q223" s="19">
        <f>-(SQRT(2)*Misc!$G$15)-5</f>
        <v>-139.35028842544403</v>
      </c>
      <c r="R223" s="19">
        <f>-(SQRT(2)*Misc!$G$15)+5</f>
        <v>-129.35028842544403</v>
      </c>
      <c r="S223" s="20"/>
      <c r="T223" s="19">
        <f>-(SQRT(2)*Misc!$G$16)-5</f>
        <v>-167.63455967290594</v>
      </c>
      <c r="U223" s="19">
        <f>-(SQRT(2)*Misc!$G$16)+5</f>
        <v>-157.63455967290594</v>
      </c>
      <c r="V223" s="20"/>
      <c r="W223" s="19">
        <f>-(SQRT(2)*Misc!$G$17)-5</f>
        <v>-96.923881554251182</v>
      </c>
      <c r="X223" s="19">
        <f>-(SQRT(2)*Misc!$G$17)+5</f>
        <v>-86.923881554251182</v>
      </c>
      <c r="Y223" s="20"/>
      <c r="Z223" s="19">
        <f>-(SQRT(2)*Misc!$G$18)-5</f>
        <v>-139.35028842544403</v>
      </c>
      <c r="AA223" s="19">
        <f>-(SQRT(2)*Misc!$G$18)+5</f>
        <v>-129.35028842544403</v>
      </c>
      <c r="AB223" s="20"/>
      <c r="AC223" s="19">
        <f>-(SQRT(2)*Misc!$G$19)-7</f>
        <v>-195.09040379562165</v>
      </c>
      <c r="AD223" s="19">
        <f>-(SQRT(2)*Misc!$G$19)+7</f>
        <v>-181.09040379562165</v>
      </c>
      <c r="AE223" s="20"/>
      <c r="AF223" s="19">
        <f>-(SQRT(2)*Misc!$F$20)-7</f>
        <v>-120.13708498984761</v>
      </c>
      <c r="AG223" s="19">
        <f>-(SQRT(2)*Misc!$F$20)+7</f>
        <v>-106.13708498984761</v>
      </c>
      <c r="AH223" s="20"/>
      <c r="AI223" s="19">
        <f>-(SQRT(2)*Misc!$G$21)-5</f>
        <v>-174.70562748477141</v>
      </c>
      <c r="AJ223" s="19">
        <f>-(SQRT(2)*Misc!$G$21)+5</f>
        <v>-164.70562748477141</v>
      </c>
      <c r="AK223" s="20"/>
      <c r="AL223" s="19">
        <f>-(SQRT(2)*Misc!$G$22)-5</f>
        <v>-193.09040379562165</v>
      </c>
      <c r="AM223" s="19">
        <f>-(SQRT(2)*Misc!$G$22)+5</f>
        <v>-183.09040379562165</v>
      </c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</row>
    <row r="224" spans="1:57" outlineLevel="1" x14ac:dyDescent="0.3">
      <c r="A224" s="16">
        <v>223</v>
      </c>
      <c r="B224" s="30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-68.63961030678928</v>
      </c>
      <c r="L224" s="19">
        <f>-(SQRT(2)*Misc!$G$13)+5</f>
        <v>-58.63961030678928</v>
      </c>
      <c r="M224" s="20"/>
      <c r="N224" s="19">
        <f>-(SQRT(2)*Misc!$G$14)-5</f>
        <v>-96.923881554251182</v>
      </c>
      <c r="O224" s="19">
        <f>-(SQRT(2)*Misc!$G$14)+5</f>
        <v>-86.923881554251182</v>
      </c>
      <c r="P224" s="20"/>
      <c r="Q224" s="19">
        <f>-(SQRT(2)*Misc!$G$15)-5</f>
        <v>-139.35028842544403</v>
      </c>
      <c r="R224" s="19">
        <f>-(SQRT(2)*Misc!$G$15)+5</f>
        <v>-129.35028842544403</v>
      </c>
      <c r="S224" s="20"/>
      <c r="T224" s="19">
        <f>-(SQRT(2)*Misc!$G$16)-5</f>
        <v>-167.63455967290594</v>
      </c>
      <c r="U224" s="19">
        <f>-(SQRT(2)*Misc!$G$16)+5</f>
        <v>-157.63455967290594</v>
      </c>
      <c r="V224" s="20"/>
      <c r="W224" s="19">
        <f>-(SQRT(2)*Misc!$G$17)-5</f>
        <v>-96.923881554251182</v>
      </c>
      <c r="X224" s="19">
        <f>-(SQRT(2)*Misc!$G$17)+5</f>
        <v>-86.923881554251182</v>
      </c>
      <c r="Y224" s="20"/>
      <c r="Z224" s="19">
        <f>-(SQRT(2)*Misc!$G$18)-5</f>
        <v>-139.35028842544403</v>
      </c>
      <c r="AA224" s="19">
        <f>-(SQRT(2)*Misc!$G$18)+5</f>
        <v>-129.35028842544403</v>
      </c>
      <c r="AB224" s="20"/>
      <c r="AC224" s="19">
        <f>-(SQRT(2)*Misc!$G$19)-7</f>
        <v>-195.09040379562165</v>
      </c>
      <c r="AD224" s="19">
        <f>-(SQRT(2)*Misc!$G$19)+7</f>
        <v>-181.09040379562165</v>
      </c>
      <c r="AE224" s="20"/>
      <c r="AF224" s="19">
        <f>-(SQRT(2)*Misc!$F$20)-7</f>
        <v>-120.13708498984761</v>
      </c>
      <c r="AG224" s="19">
        <f>-(SQRT(2)*Misc!$F$20)+7</f>
        <v>-106.13708498984761</v>
      </c>
      <c r="AH224" s="20"/>
      <c r="AI224" s="19">
        <f>-(SQRT(2)*Misc!$G$21)-5</f>
        <v>-174.70562748477141</v>
      </c>
      <c r="AJ224" s="19">
        <f>-(SQRT(2)*Misc!$G$21)+5</f>
        <v>-164.70562748477141</v>
      </c>
      <c r="AK224" s="20"/>
      <c r="AL224" s="19">
        <f>-(SQRT(2)*Misc!$G$22)-5</f>
        <v>-193.09040379562165</v>
      </c>
      <c r="AM224" s="19">
        <f>-(SQRT(2)*Misc!$G$22)+5</f>
        <v>-183.09040379562165</v>
      </c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</row>
    <row r="225" spans="1:57" outlineLevel="1" x14ac:dyDescent="0.3">
      <c r="A225" s="16">
        <v>224</v>
      </c>
      <c r="B225" s="30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-68.63961030678928</v>
      </c>
      <c r="L225" s="19">
        <f>-(SQRT(2)*Misc!$G$13)+5</f>
        <v>-58.63961030678928</v>
      </c>
      <c r="M225" s="20"/>
      <c r="N225" s="19">
        <f>-(SQRT(2)*Misc!$G$14)-5</f>
        <v>-96.923881554251182</v>
      </c>
      <c r="O225" s="19">
        <f>-(SQRT(2)*Misc!$G$14)+5</f>
        <v>-86.923881554251182</v>
      </c>
      <c r="P225" s="20"/>
      <c r="Q225" s="19">
        <f>-(SQRT(2)*Misc!$G$15)-5</f>
        <v>-139.35028842544403</v>
      </c>
      <c r="R225" s="19">
        <f>-(SQRT(2)*Misc!$G$15)+5</f>
        <v>-129.35028842544403</v>
      </c>
      <c r="S225" s="20"/>
      <c r="T225" s="19">
        <f>-(SQRT(2)*Misc!$G$16)-5</f>
        <v>-167.63455967290594</v>
      </c>
      <c r="U225" s="19">
        <f>-(SQRT(2)*Misc!$G$16)+5</f>
        <v>-157.63455967290594</v>
      </c>
      <c r="V225" s="20"/>
      <c r="W225" s="19">
        <f>-(SQRT(2)*Misc!$G$17)-5</f>
        <v>-96.923881554251182</v>
      </c>
      <c r="X225" s="19">
        <f>-(SQRT(2)*Misc!$G$17)+5</f>
        <v>-86.923881554251182</v>
      </c>
      <c r="Y225" s="20"/>
      <c r="Z225" s="19">
        <f>-(SQRT(2)*Misc!$G$18)-5</f>
        <v>-139.35028842544403</v>
      </c>
      <c r="AA225" s="19">
        <f>-(SQRT(2)*Misc!$G$18)+5</f>
        <v>-129.35028842544403</v>
      </c>
      <c r="AB225" s="20"/>
      <c r="AC225" s="19">
        <f>-(SQRT(2)*Misc!$G$19)-7</f>
        <v>-195.09040379562165</v>
      </c>
      <c r="AD225" s="19">
        <f>-(SQRT(2)*Misc!$G$19)+7</f>
        <v>-181.09040379562165</v>
      </c>
      <c r="AE225" s="20"/>
      <c r="AF225" s="19">
        <f>-(SQRT(2)*Misc!$F$20)-7</f>
        <v>-120.13708498984761</v>
      </c>
      <c r="AG225" s="19">
        <f>-(SQRT(2)*Misc!$F$20)+7</f>
        <v>-106.13708498984761</v>
      </c>
      <c r="AH225" s="20"/>
      <c r="AI225" s="19">
        <f>-(SQRT(2)*Misc!$G$21)-5</f>
        <v>-174.70562748477141</v>
      </c>
      <c r="AJ225" s="19">
        <f>-(SQRT(2)*Misc!$G$21)+5</f>
        <v>-164.70562748477141</v>
      </c>
      <c r="AK225" s="20"/>
      <c r="AL225" s="19">
        <f>-(SQRT(2)*Misc!$G$22)-5</f>
        <v>-193.09040379562165</v>
      </c>
      <c r="AM225" s="19">
        <f>-(SQRT(2)*Misc!$G$22)+5</f>
        <v>-183.09040379562165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</row>
    <row r="226" spans="1:57" outlineLevel="1" x14ac:dyDescent="0.3">
      <c r="A226" s="16">
        <v>225</v>
      </c>
      <c r="B226" s="30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58.63961030678928</v>
      </c>
      <c r="L226" s="19">
        <f>(SQRT(2)*Misc!$G$13)+5</f>
        <v>68.63961030678928</v>
      </c>
      <c r="M226" s="20"/>
      <c r="N226" s="19">
        <f>(SQRT(2)*Misc!$G$14)-5</f>
        <v>86.923881554251182</v>
      </c>
      <c r="O226" s="19">
        <f>(SQRT(2)*Misc!$G$14)+5</f>
        <v>96.923881554251182</v>
      </c>
      <c r="P226" s="20"/>
      <c r="Q226" s="19">
        <f>(SQRT(2)*Misc!$G$15)-5</f>
        <v>129.35028842544403</v>
      </c>
      <c r="R226" s="19">
        <f>(SQRT(2)*Misc!$G$15)+5</f>
        <v>139.35028842544403</v>
      </c>
      <c r="S226" s="20"/>
      <c r="T226" s="19">
        <f>(SQRT(2)*Misc!$G$16)-5</f>
        <v>157.63455967290594</v>
      </c>
      <c r="U226" s="19">
        <f>(SQRT(2)*Misc!$G$16)+5</f>
        <v>167.63455967290594</v>
      </c>
      <c r="V226" s="20"/>
      <c r="W226" s="19">
        <f>(SQRT(2)*Misc!$G$17)-5</f>
        <v>86.923881554251182</v>
      </c>
      <c r="X226" s="19">
        <f>(SQRT(2)*Misc!$G$17)+5</f>
        <v>96.923881554251182</v>
      </c>
      <c r="Y226" s="20"/>
      <c r="Z226" s="19">
        <f>(SQRT(2)*Misc!$G$18)-5</f>
        <v>129.35028842544403</v>
      </c>
      <c r="AA226" s="19">
        <f>(SQRT(2)*Misc!$G$18)+5</f>
        <v>139.35028842544403</v>
      </c>
      <c r="AB226" s="20"/>
      <c r="AC226" s="19">
        <f>(SQRT(2)*Misc!$G$19)-7</f>
        <v>181.09040379562165</v>
      </c>
      <c r="AD226" s="19">
        <f>(SQRT(2)*Misc!$G$19)+7</f>
        <v>195.09040379562165</v>
      </c>
      <c r="AE226" s="20"/>
      <c r="AF226" s="19">
        <f>(SQRT(2)*Misc!$G$20)-7</f>
        <v>106.13708498984761</v>
      </c>
      <c r="AG226" s="19">
        <f>(SQRT(2)*Misc!$G$20)+7</f>
        <v>120.13708498984761</v>
      </c>
      <c r="AH226" s="20"/>
      <c r="AI226" s="19">
        <f>(SQRT(2)*Misc!$G$21)-5</f>
        <v>164.70562748477141</v>
      </c>
      <c r="AJ226" s="19">
        <f>(SQRT(2)*Misc!$G$21)+5</f>
        <v>174.70562748477141</v>
      </c>
      <c r="AK226" s="20"/>
      <c r="AL226" s="19">
        <f>(SQRT(2)*Misc!$G$22)-5</f>
        <v>183.09040379562165</v>
      </c>
      <c r="AM226" s="19">
        <f>(SQRT(2)*Misc!$G$22)+5</f>
        <v>193.09040379562165</v>
      </c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</row>
    <row r="227" spans="1:57" outlineLevel="1" x14ac:dyDescent="0.3">
      <c r="A227" s="16">
        <v>226</v>
      </c>
      <c r="B227" s="30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58.63961030678928</v>
      </c>
      <c r="L227" s="19">
        <f>(SQRT(2)*Misc!$G$13)+5</f>
        <v>68.63961030678928</v>
      </c>
      <c r="M227" s="20"/>
      <c r="N227" s="19">
        <f>(SQRT(2)*Misc!$G$14)-5</f>
        <v>86.923881554251182</v>
      </c>
      <c r="O227" s="19">
        <f>(SQRT(2)*Misc!$G$14)+5</f>
        <v>96.923881554251182</v>
      </c>
      <c r="P227" s="20"/>
      <c r="Q227" s="19">
        <f>(SQRT(2)*Misc!$G$15)-5</f>
        <v>129.35028842544403</v>
      </c>
      <c r="R227" s="19">
        <f>(SQRT(2)*Misc!$G$15)+5</f>
        <v>139.35028842544403</v>
      </c>
      <c r="S227" s="20"/>
      <c r="T227" s="19">
        <f>(SQRT(2)*Misc!$G$16)-5</f>
        <v>157.63455967290594</v>
      </c>
      <c r="U227" s="19">
        <f>(SQRT(2)*Misc!$G$16)+5</f>
        <v>167.63455967290594</v>
      </c>
      <c r="V227" s="20"/>
      <c r="W227" s="19">
        <f>(SQRT(2)*Misc!$G$17)-5</f>
        <v>86.923881554251182</v>
      </c>
      <c r="X227" s="19">
        <f>(SQRT(2)*Misc!$G$17)+5</f>
        <v>96.923881554251182</v>
      </c>
      <c r="Y227" s="20"/>
      <c r="Z227" s="19">
        <f>(SQRT(2)*Misc!$G$18)-5</f>
        <v>129.35028842544403</v>
      </c>
      <c r="AA227" s="19">
        <f>(SQRT(2)*Misc!$G$18)+5</f>
        <v>139.35028842544403</v>
      </c>
      <c r="AB227" s="20"/>
      <c r="AC227" s="19">
        <f>(SQRT(2)*Misc!$G$19)-7</f>
        <v>181.09040379562165</v>
      </c>
      <c r="AD227" s="19">
        <f>(SQRT(2)*Misc!$G$19)+7</f>
        <v>195.09040379562165</v>
      </c>
      <c r="AE227" s="20"/>
      <c r="AF227" s="19">
        <f>(SQRT(2)*Misc!$G$20)-7</f>
        <v>106.13708498984761</v>
      </c>
      <c r="AG227" s="19">
        <f>(SQRT(2)*Misc!$G$20)+7</f>
        <v>120.13708498984761</v>
      </c>
      <c r="AH227" s="20"/>
      <c r="AI227" s="19">
        <f>(SQRT(2)*Misc!$G$21)-5</f>
        <v>164.70562748477141</v>
      </c>
      <c r="AJ227" s="19">
        <f>(SQRT(2)*Misc!$G$21)+5</f>
        <v>174.70562748477141</v>
      </c>
      <c r="AK227" s="20"/>
      <c r="AL227" s="19">
        <f>(SQRT(2)*Misc!$G$22)-5</f>
        <v>183.09040379562165</v>
      </c>
      <c r="AM227" s="19">
        <f>(SQRT(2)*Misc!$G$22)+5</f>
        <v>193.09040379562165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</row>
    <row r="228" spans="1:57" outlineLevel="1" x14ac:dyDescent="0.3">
      <c r="A228" s="16">
        <v>227</v>
      </c>
      <c r="B228" s="30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58.63961030678928</v>
      </c>
      <c r="L228" s="19">
        <f>(SQRT(2)*Misc!$G$13)+5</f>
        <v>68.63961030678928</v>
      </c>
      <c r="M228" s="20"/>
      <c r="N228" s="19">
        <f>(SQRT(2)*Misc!$G$14)-5</f>
        <v>86.923881554251182</v>
      </c>
      <c r="O228" s="19">
        <f>(SQRT(2)*Misc!$G$14)+5</f>
        <v>96.923881554251182</v>
      </c>
      <c r="P228" s="20"/>
      <c r="Q228" s="19">
        <f>(SQRT(2)*Misc!$G$15)-5</f>
        <v>129.35028842544403</v>
      </c>
      <c r="R228" s="19">
        <f>(SQRT(2)*Misc!$G$15)+5</f>
        <v>139.35028842544403</v>
      </c>
      <c r="S228" s="20"/>
      <c r="T228" s="19">
        <f>(SQRT(2)*Misc!$G$16)-5</f>
        <v>157.63455967290594</v>
      </c>
      <c r="U228" s="19">
        <f>(SQRT(2)*Misc!$G$16)+5</f>
        <v>167.63455967290594</v>
      </c>
      <c r="V228" s="20"/>
      <c r="W228" s="19">
        <f>(SQRT(2)*Misc!$G$17)-5</f>
        <v>86.923881554251182</v>
      </c>
      <c r="X228" s="19">
        <f>(SQRT(2)*Misc!$G$17)+5</f>
        <v>96.923881554251182</v>
      </c>
      <c r="Y228" s="20"/>
      <c r="Z228" s="19">
        <f>(SQRT(2)*Misc!$G$18)-5</f>
        <v>129.35028842544403</v>
      </c>
      <c r="AA228" s="19">
        <f>(SQRT(2)*Misc!$G$18)+5</f>
        <v>139.35028842544403</v>
      </c>
      <c r="AB228" s="20"/>
      <c r="AC228" s="19">
        <f>(SQRT(2)*Misc!$G$19)-7</f>
        <v>181.09040379562165</v>
      </c>
      <c r="AD228" s="19">
        <f>(SQRT(2)*Misc!$G$19)+7</f>
        <v>195.09040379562165</v>
      </c>
      <c r="AE228" s="20"/>
      <c r="AF228" s="19">
        <f>(SQRT(2)*Misc!$G$20)-7</f>
        <v>106.13708498984761</v>
      </c>
      <c r="AG228" s="19">
        <f>(SQRT(2)*Misc!$G$20)+7</f>
        <v>120.13708498984761</v>
      </c>
      <c r="AH228" s="20"/>
      <c r="AI228" s="19">
        <f>(SQRT(2)*Misc!$G$21)-5</f>
        <v>164.70562748477141</v>
      </c>
      <c r="AJ228" s="19">
        <f>(SQRT(2)*Misc!$G$21)+5</f>
        <v>174.70562748477141</v>
      </c>
      <c r="AK228" s="20"/>
      <c r="AL228" s="19">
        <f>(SQRT(2)*Misc!$G$22)-5</f>
        <v>183.09040379562165</v>
      </c>
      <c r="AM228" s="19">
        <f>(SQRT(2)*Misc!$G$22)+5</f>
        <v>193.09040379562165</v>
      </c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</row>
    <row r="229" spans="1:57" x14ac:dyDescent="0.3">
      <c r="A229" s="51">
        <v>228</v>
      </c>
      <c r="B229" s="23" t="s">
        <v>279</v>
      </c>
      <c r="C229" s="24" t="s">
        <v>71</v>
      </c>
      <c r="D229" s="24"/>
      <c r="E229" s="24"/>
      <c r="F229" s="24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</row>
    <row r="230" spans="1:57" x14ac:dyDescent="0.3">
      <c r="A230" s="16">
        <v>229</v>
      </c>
      <c r="B230" s="23" t="s">
        <v>280</v>
      </c>
      <c r="C230" s="24"/>
      <c r="D230" s="24"/>
      <c r="E230" s="24"/>
      <c r="F230" s="24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</row>
    <row r="231" spans="1:57" hidden="1" outlineLevel="1" x14ac:dyDescent="0.3">
      <c r="A231" s="16">
        <v>230</v>
      </c>
      <c r="B231" s="30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</row>
    <row r="232" spans="1:57" hidden="1" outlineLevel="1" x14ac:dyDescent="0.3">
      <c r="A232" s="16">
        <v>231</v>
      </c>
      <c r="B232" s="30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</row>
    <row r="233" spans="1:57" collapsed="1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4:N28"/>
  <sheetViews>
    <sheetView topLeftCell="C8" zoomScale="87" workbookViewId="0">
      <selection activeCell="E44" sqref="E44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4" spans="2:14" x14ac:dyDescent="0.3">
      <c r="B4" s="86" t="s">
        <v>283</v>
      </c>
      <c r="C4" s="86"/>
      <c r="I4" s="9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5"/>
      <c r="F5" s="5"/>
      <c r="G5" s="31" t="s">
        <v>286</v>
      </c>
      <c r="H5" s="32" t="s">
        <v>287</v>
      </c>
      <c r="I5" s="31" t="s">
        <v>288</v>
      </c>
      <c r="J5" s="31" t="s">
        <v>289</v>
      </c>
    </row>
    <row r="6" spans="2:14" x14ac:dyDescent="0.3">
      <c r="B6" s="5" t="s">
        <v>290</v>
      </c>
      <c r="C6" s="5" t="s">
        <v>291</v>
      </c>
      <c r="E6" s="31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87" t="s">
        <v>314</v>
      </c>
      <c r="F9" s="94"/>
      <c r="G9" s="94"/>
      <c r="H9" s="94"/>
      <c r="I9" s="94"/>
      <c r="J9" s="94"/>
      <c r="K9" s="94"/>
      <c r="L9" s="94"/>
      <c r="M9" s="94"/>
      <c r="N9" s="95"/>
    </row>
    <row r="10" spans="2:14" ht="15" thickBot="1" x14ac:dyDescent="0.35">
      <c r="E10" s="58" t="s">
        <v>296</v>
      </c>
      <c r="F10" s="59" t="s">
        <v>308</v>
      </c>
      <c r="G10" s="60" t="s">
        <v>309</v>
      </c>
      <c r="H10" s="59" t="s">
        <v>310</v>
      </c>
      <c r="I10" s="61" t="s">
        <v>311</v>
      </c>
      <c r="J10" s="57" t="s">
        <v>312</v>
      </c>
      <c r="K10" s="61" t="s">
        <v>313</v>
      </c>
      <c r="L10" s="62" t="s">
        <v>317</v>
      </c>
      <c r="M10" s="63" t="s">
        <v>335</v>
      </c>
      <c r="N10" s="63" t="s">
        <v>334</v>
      </c>
    </row>
    <row r="11" spans="2:14" x14ac:dyDescent="0.3">
      <c r="E11" s="39" t="s">
        <v>315</v>
      </c>
      <c r="F11" s="33">
        <v>0</v>
      </c>
      <c r="G11" s="52">
        <v>0</v>
      </c>
      <c r="H11" s="33">
        <v>48</v>
      </c>
      <c r="I11" s="52">
        <v>48</v>
      </c>
      <c r="J11" s="64">
        <v>0</v>
      </c>
      <c r="K11" s="34">
        <v>115</v>
      </c>
      <c r="L11" s="65">
        <v>5</v>
      </c>
      <c r="M11" s="65">
        <v>0</v>
      </c>
      <c r="N11" s="65">
        <v>110</v>
      </c>
    </row>
    <row r="12" spans="2:14" x14ac:dyDescent="0.3">
      <c r="E12" s="42" t="s">
        <v>316</v>
      </c>
      <c r="F12" s="43">
        <v>0</v>
      </c>
      <c r="G12" s="53">
        <v>0</v>
      </c>
      <c r="H12" s="35">
        <v>48</v>
      </c>
      <c r="I12" s="54">
        <v>48</v>
      </c>
      <c r="J12" s="9">
        <v>0</v>
      </c>
      <c r="K12" s="44">
        <v>115</v>
      </c>
      <c r="L12" s="49">
        <v>5</v>
      </c>
      <c r="M12" s="50">
        <v>0</v>
      </c>
      <c r="N12" s="49">
        <v>110</v>
      </c>
    </row>
    <row r="13" spans="2:14" x14ac:dyDescent="0.3">
      <c r="E13" s="40" t="s">
        <v>297</v>
      </c>
      <c r="F13" s="35">
        <v>18</v>
      </c>
      <c r="G13" s="54">
        <v>45</v>
      </c>
      <c r="H13" s="35">
        <v>48</v>
      </c>
      <c r="I13" s="54">
        <v>48</v>
      </c>
      <c r="J13" s="9">
        <v>0</v>
      </c>
      <c r="K13" s="36">
        <v>115</v>
      </c>
      <c r="L13" s="49">
        <v>5</v>
      </c>
      <c r="M13" s="50">
        <v>0</v>
      </c>
      <c r="N13" s="49">
        <v>110</v>
      </c>
    </row>
    <row r="14" spans="2:14" x14ac:dyDescent="0.3">
      <c r="E14" s="40" t="s">
        <v>298</v>
      </c>
      <c r="F14" s="35">
        <v>25</v>
      </c>
      <c r="G14" s="54">
        <v>65</v>
      </c>
      <c r="H14" s="35">
        <v>48</v>
      </c>
      <c r="I14" s="54">
        <v>48</v>
      </c>
      <c r="J14" s="9">
        <v>0</v>
      </c>
      <c r="K14" s="36">
        <v>115</v>
      </c>
      <c r="L14" s="49">
        <v>5</v>
      </c>
      <c r="M14" s="50">
        <v>0</v>
      </c>
      <c r="N14" s="49">
        <v>110</v>
      </c>
    </row>
    <row r="15" spans="2:14" x14ac:dyDescent="0.3">
      <c r="E15" s="40" t="s">
        <v>299</v>
      </c>
      <c r="F15" s="35">
        <v>75</v>
      </c>
      <c r="G15" s="54">
        <v>95</v>
      </c>
      <c r="H15" s="35">
        <v>48</v>
      </c>
      <c r="I15" s="54">
        <v>48</v>
      </c>
      <c r="J15" s="9">
        <v>0</v>
      </c>
      <c r="K15" s="36">
        <v>115</v>
      </c>
      <c r="L15" s="49">
        <v>5</v>
      </c>
      <c r="M15" s="50">
        <v>0</v>
      </c>
      <c r="N15" s="49">
        <v>110</v>
      </c>
    </row>
    <row r="16" spans="2:14" x14ac:dyDescent="0.3">
      <c r="E16" s="40" t="s">
        <v>300</v>
      </c>
      <c r="F16" s="35">
        <v>95</v>
      </c>
      <c r="G16" s="54">
        <v>115</v>
      </c>
      <c r="H16" s="35">
        <v>48</v>
      </c>
      <c r="I16" s="54">
        <v>48</v>
      </c>
      <c r="J16" s="9">
        <v>0</v>
      </c>
      <c r="K16" s="36">
        <v>115</v>
      </c>
      <c r="L16" s="49">
        <v>5</v>
      </c>
      <c r="M16" s="50">
        <v>0</v>
      </c>
      <c r="N16" s="49">
        <v>110</v>
      </c>
    </row>
    <row r="17" spans="5:14" x14ac:dyDescent="0.3">
      <c r="E17" s="40" t="s">
        <v>301</v>
      </c>
      <c r="F17" s="35">
        <v>32.5</v>
      </c>
      <c r="G17" s="54">
        <v>65</v>
      </c>
      <c r="H17" s="35">
        <v>48</v>
      </c>
      <c r="I17" s="54">
        <v>48</v>
      </c>
      <c r="J17" s="9">
        <v>0</v>
      </c>
      <c r="K17" s="36">
        <v>115</v>
      </c>
      <c r="L17" s="49">
        <v>5</v>
      </c>
      <c r="M17" s="50">
        <v>0</v>
      </c>
      <c r="N17" s="49">
        <v>110</v>
      </c>
    </row>
    <row r="18" spans="5:14" x14ac:dyDescent="0.3">
      <c r="E18" s="40" t="s">
        <v>302</v>
      </c>
      <c r="F18" s="35">
        <v>47.5</v>
      </c>
      <c r="G18" s="54">
        <v>95</v>
      </c>
      <c r="H18" s="35">
        <v>48</v>
      </c>
      <c r="I18" s="54">
        <v>48</v>
      </c>
      <c r="J18" s="9">
        <v>0</v>
      </c>
      <c r="K18" s="36">
        <v>115</v>
      </c>
      <c r="L18" s="49">
        <v>5</v>
      </c>
      <c r="M18" s="50">
        <v>0</v>
      </c>
      <c r="N18" s="49">
        <v>110</v>
      </c>
    </row>
    <row r="19" spans="5:14" x14ac:dyDescent="0.3">
      <c r="E19" s="40" t="s">
        <v>303</v>
      </c>
      <c r="F19" s="35">
        <v>120</v>
      </c>
      <c r="G19" s="54">
        <v>133</v>
      </c>
      <c r="H19" s="35">
        <v>48</v>
      </c>
      <c r="I19" s="54">
        <v>48</v>
      </c>
      <c r="J19" s="9">
        <v>-20</v>
      </c>
      <c r="K19" s="36">
        <v>115</v>
      </c>
      <c r="L19" s="49">
        <v>5</v>
      </c>
      <c r="M19" s="49">
        <v>-20</v>
      </c>
      <c r="N19" s="49">
        <v>110</v>
      </c>
    </row>
    <row r="20" spans="5:14" x14ac:dyDescent="0.3">
      <c r="E20" s="40" t="s">
        <v>304</v>
      </c>
      <c r="F20" s="35">
        <v>80</v>
      </c>
      <c r="G20" s="54">
        <v>80</v>
      </c>
      <c r="H20" s="35">
        <v>48</v>
      </c>
      <c r="I20" s="54">
        <v>48</v>
      </c>
      <c r="J20" s="9">
        <v>-20</v>
      </c>
      <c r="K20" s="36">
        <v>115</v>
      </c>
      <c r="L20" s="49">
        <v>5</v>
      </c>
      <c r="M20" s="49">
        <v>-20</v>
      </c>
      <c r="N20" s="49">
        <v>110</v>
      </c>
    </row>
    <row r="21" spans="5:14" x14ac:dyDescent="0.3">
      <c r="E21" s="40" t="s">
        <v>305</v>
      </c>
      <c r="F21" s="35">
        <v>120</v>
      </c>
      <c r="G21" s="54">
        <v>120</v>
      </c>
      <c r="H21" s="35">
        <v>48</v>
      </c>
      <c r="I21" s="54">
        <v>48</v>
      </c>
      <c r="J21" s="9">
        <v>0</v>
      </c>
      <c r="K21" s="36">
        <v>115</v>
      </c>
      <c r="L21" s="49">
        <v>5</v>
      </c>
      <c r="M21" s="49">
        <v>0</v>
      </c>
      <c r="N21" s="49">
        <v>110</v>
      </c>
    </row>
    <row r="22" spans="5:14" x14ac:dyDescent="0.3">
      <c r="E22" s="40" t="s">
        <v>306</v>
      </c>
      <c r="F22" s="35">
        <v>133</v>
      </c>
      <c r="G22" s="54">
        <v>133</v>
      </c>
      <c r="H22" s="35">
        <v>48</v>
      </c>
      <c r="I22" s="54">
        <v>48</v>
      </c>
      <c r="J22" s="9">
        <v>0</v>
      </c>
      <c r="K22" s="36">
        <v>115</v>
      </c>
      <c r="L22" s="49">
        <v>5</v>
      </c>
      <c r="M22" s="49">
        <v>0</v>
      </c>
      <c r="N22" s="49">
        <v>110</v>
      </c>
    </row>
    <row r="23" spans="5:14" ht="15" thickBot="1" x14ac:dyDescent="0.35">
      <c r="E23" s="41" t="s">
        <v>307</v>
      </c>
      <c r="F23" s="37">
        <v>1</v>
      </c>
      <c r="G23" s="55">
        <v>1</v>
      </c>
      <c r="H23" s="37">
        <v>48</v>
      </c>
      <c r="I23" s="55">
        <v>48</v>
      </c>
      <c r="J23" s="66">
        <v>0</v>
      </c>
      <c r="K23" s="38">
        <v>115</v>
      </c>
      <c r="L23" s="46">
        <v>5</v>
      </c>
      <c r="M23" s="46">
        <v>0</v>
      </c>
      <c r="N23" s="46">
        <v>110</v>
      </c>
    </row>
    <row r="25" spans="5:14" ht="15" thickBot="1" x14ac:dyDescent="0.35"/>
    <row r="26" spans="5:14" ht="21.6" thickBot="1" x14ac:dyDescent="0.35">
      <c r="E26" s="87" t="s">
        <v>325</v>
      </c>
      <c r="F26" s="88"/>
      <c r="G26" s="88"/>
      <c r="H26" s="88"/>
      <c r="I26" s="88"/>
      <c r="J26" s="88"/>
      <c r="K26" s="88"/>
      <c r="L26" s="88"/>
      <c r="M26" s="88"/>
      <c r="N26" s="89"/>
    </row>
    <row r="27" spans="5:14" x14ac:dyDescent="0.3">
      <c r="E27" s="90" t="s">
        <v>326</v>
      </c>
      <c r="F27" s="91"/>
      <c r="G27" s="45" t="s">
        <v>318</v>
      </c>
      <c r="H27" s="45" t="s">
        <v>319</v>
      </c>
      <c r="I27" s="45" t="s">
        <v>320</v>
      </c>
      <c r="J27" s="45" t="s">
        <v>321</v>
      </c>
      <c r="K27" s="45" t="s">
        <v>327</v>
      </c>
      <c r="L27" s="45" t="s">
        <v>322</v>
      </c>
      <c r="M27" s="45" t="s">
        <v>323</v>
      </c>
      <c r="N27" s="47" t="s">
        <v>324</v>
      </c>
    </row>
    <row r="28" spans="5:14" ht="15" thickBot="1" x14ac:dyDescent="0.35">
      <c r="E28" s="92"/>
      <c r="F28" s="93"/>
      <c r="G28" s="46">
        <v>2.5</v>
      </c>
      <c r="H28" s="46">
        <v>4.97</v>
      </c>
      <c r="I28" s="46">
        <v>5.0199999999999996</v>
      </c>
      <c r="J28" s="46">
        <v>4.97</v>
      </c>
      <c r="K28" s="46">
        <v>5.0199999999999996</v>
      </c>
      <c r="L28" s="46">
        <v>100000</v>
      </c>
      <c r="M28" s="46">
        <v>4.9400000000000004</v>
      </c>
      <c r="N28" s="48">
        <v>5</v>
      </c>
    </row>
  </sheetData>
  <mergeCells count="4">
    <mergeCell ref="B4:C4"/>
    <mergeCell ref="E26:N26"/>
    <mergeCell ref="E27:F28"/>
    <mergeCell ref="E9:N9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FE_FF_Frame_Limit_V4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2024-11-26T17:31:28Z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